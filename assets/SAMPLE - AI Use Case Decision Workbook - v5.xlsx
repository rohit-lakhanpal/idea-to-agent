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1"/>
  </bookViews>
  <sheets>
    <sheet sheetId="1" name="Lists" state="visible" r:id="rId4"/>
    <sheet sheetId="2" name="Start here" state="visible" r:id="rId5"/>
    <sheet sheetId="3" name="Register" state="visible" r:id="rId6"/>
    <sheet sheetId="4" name="Outcome contract" state="visible" r:id="rId7"/>
    <sheet sheetId="5" name="Eight questions" state="visible" r:id="rId8"/>
    <sheet sheetId="6" name="Assurance and gate" state="visible" r:id="rId9"/>
    <sheet sheetId="7" name="Technology direction" state="visible" r:id="rId10"/>
    <sheet sheetId="8" name="Prove and operate" state="visible" r:id="rId11"/>
    <sheet sheetId="9" name="Answers out" state="visible" r:id="rId12"/>
    <sheet sheetId="10" name="Scoring" state="visible" r:id="rId13"/>
    <sheet sheetId="11" name="Decision logic" state="visible" r:id="rId14"/>
    <sheet sheetId="12" name="Platform reference" state="visible" r:id="rId15"/>
    <sheet sheetId="13" name="References" state="visible" r:id="rId16"/>
  </sheets>
  <calcPr calcId="171027"/>
</workbook>
</file>

<file path=xl/comments3.xml><?xml version="1.0" encoding="utf-8"?>
<comments xmlns="http://schemas.openxmlformats.org/spreadsheetml/2006/main">
  <authors>
    <author>Author</author>
  </authors>
  <commentList>
    <comment ref="I2" authorId="0">
      <text>
        <r>
          <t>Stage 0: deduplicate and complete the list before classifying anything.</t>
        </r>
      </text>
    </comment>
    <comment ref="J2" authorId="0">
      <text>
        <r>
          <t>The user desirability axis from the Scoring sheet, rescaled from its 3-15 range to 1-5 so all four Stage 0 lenses are comparable.</t>
        </r>
      </text>
    </comment>
    <comment ref="K2" authorId="0">
      <text>
        <r>
          <t>The technical feasibility axis from the Scoring sheet, rescaled from its 3-15 range to 1-5.</t>
        </r>
      </text>
    </comment>
    <comment ref="L2" authorId="0">
      <text>
        <r>
          <t>The business impact axis from the Scoring sheet, rescaled from its 3-15 range to 1-5.</t>
        </r>
      </text>
    </comment>
    <comment ref="M2" authorId="0">
      <text>
        <r>
          <t>Can we do this responsibly: safeguards, consent, disclosure, fairness. Scored here because CAF's nine sub-criteria do not cover it.</t>
        </r>
      </text>
    </comment>
    <comment ref="Q2" authorId="0">
      <text>
        <r>
          <t>CAF positive test 1: reads, evaluates, decides, checks its own work.</t>
        </r>
      </text>
    </comment>
    <comment ref="R2" authorId="0">
      <text>
        <r>
          <t>CAF positive test 2: chooses which API, when, and how to combine results.</t>
        </r>
      </text>
    </comment>
    <comment ref="S2" authorId="0">
      <text>
        <r>
          <t>CAF positive test 3: interprets intent from incomplete or unclear input.</t>
        </r>
      </text>
    </comment>
    <comment ref="U2" authorId="0">
      <text>
        <r>
          <t>Leave blank to accept the suggestion. Anything typed here overrides it, and Stage 5 and Answers out follow the override.</t>
        </r>
      </text>
    </comment>
  </commentList>
</comments>
</file>

<file path=xl/comments4.xml><?xml version="1.0" encoding="utf-8"?>
<comments xmlns="http://schemas.openxmlformats.org/spreadsheetml/2006/main">
  <authors>
    <author>Author</author>
  </authors>
  <commentList>
    <comment ref="C2" authorId="0">
      <text>
        <r>
          <t>"Fewer escalations reach HR" is an outcome. "A chatbot" is not.</t>
        </r>
      </text>
    </comment>
    <comment ref="E2" authorId="0">
      <text>
        <r>
          <t>Record today's baseline where the process already exists; estimate and refine where it does not.</t>
        </r>
      </text>
    </comment>
    <comment ref="G2" authorId="0">
      <text>
        <r>
          <t>One accountable name, not a steering committee.</t>
        </r>
      </text>
    </comment>
    <comment ref="H2" authorId="0">
      <text>
        <r>
          <t>Someone who can say it is working, or pull it back.</t>
        </r>
      </text>
    </comment>
    <comment ref="I2" authorId="0">
      <text>
        <r>
          <t>This becomes the agent charter: system responsibilities, agent roles, prohibited actions. Without it, agents evolve beyond their intended scope.</t>
        </r>
      </text>
    </comment>
    <comment ref="J2" authorId="0">
      <text>
        <r>
          <t>Business metrics as decision gates. Go or no-go on the data, not optimism.</t>
        </r>
      </text>
    </comment>
    <comment ref="M2" authorId="0">
      <text>
        <r>
          <t>The population term in any benefit calculation.</t>
        </r>
      </text>
    </comment>
    <comment ref="N2" authorId="0">
      <text>
        <r>
          <t>The frequency term, and the best predictor of whether this is worth doing at all.</t>
        </r>
      </text>
    </comment>
    <comment ref="O2" authorId="0">
      <text>
        <r>
          <t>Converts volume into hours.</t>
        </r>
      </text>
    </comment>
    <comment ref="P2" authorId="0">
      <text>
        <r>
          <t>The most commonly omitted benefit, and often the largest.</t>
        </r>
      </text>
    </comment>
    <comment ref="Q2" authorId="0">
      <text>
        <r>
          <t>Rework, escalation, delay, a complaint. Use the customer's own unit.</t>
        </r>
      </text>
    </comment>
    <comment ref="R2" authorId="0">
      <text>
        <r>
          <t>Mirrors the baseline recorded in the contract. Without a starting number you cannot prove improvement.</t>
        </r>
      </text>
    </comment>
    <comment ref="S2" authorId="0">
      <text>
        <r>
          <t>The question finance will ask. Hours nobody can point to as redeployed capacity are a slide, not a benefit.</t>
        </r>
      </text>
    </comment>
    <comment ref="U2" authorId="0">
      <text>
        <r>
          <t>A case built only on soft benefits will be challenged. A case that ignores them will undersell the work. Name both.</t>
        </r>
      </text>
    </comment>
    <comment ref="Y2" authorId="0">
      <text>
        <r>
          <t>The framework assembles the numbers. It does not price them. Rates, licences and discounts are customer-specific and move quarterly - do the arithmetic elsewhere, dated, and only when a decision turns on it.</t>
        </r>
      </text>
    </comment>
  </commentList>
</comments>
</file>

<file path=xl/comments5.xml><?xml version="1.0" encoding="utf-8"?>
<comments xmlns="http://schemas.openxmlformats.org/spreadsheetml/2006/main">
  <authors>
    <author>Author</author>
  </authors>
  <commentList>
    <comment ref="C2" authorId="0">
      <text>
        <r>
          <t>Four of the five are not a chat experience. Get Q1 wrong and everything downstream is wrong, expensively.</t>
        </r>
      </text>
    </comment>
    <comment ref="D2" authorId="0">
      <text>
        <r>
          <t>Argue for the top of the list. If the output arrives as a pre-filled field or a notification, there is nothing to adopt and no adoption curve.</t>
        </r>
      </text>
    </comment>
    <comment ref="E2" authorId="0">
      <text>
        <r>
          <t>Only meaningful for a frontline device. A tool that needs signal fails in a client's home - and that is the setting it was built for.</t>
        </r>
      </text>
    </comment>
    <comment ref="F2" authorId="0">
      <text>
        <r>
          <t>Design for the destination. Tier 1 needs nothing from governance. Tier 3 is the first real boundary. Tier 5 brings risk and legal into the room.</t>
        </r>
      </text>
    </comment>
    <comment ref="G2" authorId="0">
      <text>
        <r>
          <t>Deploy at the pilot. Record intended and pilot reach separately.</t>
        </r>
      </text>
    </comment>
    <comment ref="H2" authorId="0">
      <text>
        <r>
          <t>An agent inherits the permissions that already exist. It does not repair them. Point one at a loose content estate and you have built a very efficient discovery engine for a problem you already had.</t>
        </r>
      </text>
    </comment>
    <comment ref="I2" authorId="0">
      <text>
        <r>
          <t>Every agent gets one identity, whatever its tier. For a Fabric operations agent this is the creator, not the approver - re-check it when that person changes role.</t>
        </r>
      </text>
    </comment>
    <comment ref="J2" authorId="0">
      <text>
        <r>
          <t>The only question that decides private networking, data location and retention.</t>
        </r>
      </text>
    </comment>
    <comment ref="L2" authorId="0">
      <text>
        <r>
          <t>Freshness is the discriminator, and it predicts your timeline. Static documents means weeks. Live system state means months.</t>
        </r>
      </text>
    </comment>
    <comment ref="M2" authorId="0">
      <text>
        <r>
          <t>If no, the row is integration-led. Have the integration conversation before the AI conversation.</t>
        </r>
      </text>
    </comment>
    <comment ref="O2" authorId="0">
      <text>
        <r>
          <t>Sets whether evaluations are mandatory, whether a human stays in the loop, and the minimum platform tier.</t>
        </r>
      </text>
    </comment>
    <comment ref="P2" authorId="0">
      <text>
        <r>
          <t>A missing alert is not a read-only risk. Where a silent failure affects a person, the tier lifts by one.</t>
        </r>
      </text>
    </comment>
    <comment ref="S2" authorId="0">
      <text>
        <r>
          <t>Ephemeral session memory for transactional agents; persistent memory only for advisory ones.</t>
        </r>
      </text>
    </comment>
    <comment ref="T2" authorId="0">
      <text>
        <r>
          <t>The third of CAF's three multi-agent criteria. The other two come from Q3 and Q5.</t>
        </r>
      </text>
    </comment>
    <comment ref="V2" authorId="0">
      <text>
        <r>
          <t>Per data domain: how the agent gets its information and why. Policy documents: search over a governed index. Client status: MCP call. This is what makes an audit answerable later.</t>
        </r>
      </text>
    </comment>
  </commentList>
</comments>
</file>

<file path=xl/comments6.xml><?xml version="1.0" encoding="utf-8"?>
<comments xmlns="http://schemas.openxmlformats.org/spreadsheetml/2006/main">
  <authors>
    <author>Author</author>
  </authors>
  <commentList>
    <comment ref="G2" authorId="0">
      <text>
        <r>
          <t>Where a silent failure affects a person, lift the tier by one regardless of the read or write classification.</t>
        </r>
      </text>
    </comment>
    <comment ref="H2" authorId="0">
      <text>
        <r>
          <t>Regulated data never sits below Controlled pilot, whatever the reach.</t>
        </r>
      </text>
    </comment>
    <comment ref="N2" authorId="0">
      <text>
        <r>
          <t>A specific condition triggers review, not 'sometimes'. The reviewer must see the reasoning, not just the final output.</t>
        </r>
      </text>
    </comment>
    <comment ref="O2" authorId="0">
      <text>
        <r>
          <t>If your control has never once said no, it may not be a control.</t>
        </r>
      </text>
    </comment>
    <comment ref="P2" authorId="0">
      <text>
        <r>
          <t>Named business owner - named technical owner - intended users and purpose recorded</t>
        </r>
      </text>
    </comment>
    <comment ref="Q2" authorId="0">
      <text>
        <r>
          <t>In the organisational registry - one distinct identity - ownership and lifecycle status visible</t>
        </r>
      </text>
    </comment>
    <comment ref="R2" authorId="0">
      <text>
        <r>
          <t>Only required data and tools allowed - user-delegated or service identity explicitly chosen - external connections approved</t>
        </r>
      </text>
    </comment>
    <comment ref="S2" authorId="0">
      <text>
        <r>
          <t>Success and failure criteria defined - security and adversarial testing completed - human intervention defined where required</t>
        </r>
      </text>
    </comment>
    <comment ref="T2" authorId="0">
      <text>
        <r>
          <t>Activity, quality, access and cost monitored - logs retained according to policy - alerts routed to the appropriate operational team</t>
        </r>
      </text>
    </comment>
    <comment ref="U2" authorId="0">
      <text>
        <r>
          <t>Kill switch or disable path - incident owner and escalation path - rollback, evidence preservation and review process</t>
        </r>
      </text>
    </comment>
    <comment ref="V2" authorId="0">
      <text>
        <r>
          <t>Turn governance policy into evidence that can be checked.</t>
        </r>
      </text>
    </comment>
    <comment ref="X2" authorId="0">
      <text>
        <r>
          <t>You cannot govern agents you do not know exist.</t>
        </r>
      </text>
    </comment>
    <comment ref="Y2" authorId="0">
      <text>
        <r>
          <t>So token and compute spend can be allocated by department.</t>
        </r>
      </text>
    </comment>
    <comment ref="Z2" authorId="0">
      <text>
        <r>
          <t>So drift and emerging risk are visible.</t>
        </r>
      </text>
    </comment>
  </commentList>
</comments>
</file>

<file path=xl/comments7.xml><?xml version="1.0" encoding="utf-8"?>
<comments xmlns="http://schemas.openxmlformats.org/spreadsheetml/2006/main">
  <authors>
    <author>Author</author>
  </authors>
  <commentList>
    <comment ref="D2" authorId="0">
      <text>
        <r>
          <t>Leave blank to accept the suggestion. Anything typed here overrides it, and every downstream column follows the override.</t>
        </r>
      </text>
    </comment>
    <comment ref="G2" authorId="0">
      <text>
        <r>
          <t>Leave blank to accept the suggestion. Monitor is the only machine-initiated verb, and the one most often missing from tool comparison charts. Act locally is never suggested automatically - select it when the work is local files, shell or browser.</t>
        </r>
      </text>
    </comment>
    <comment ref="J2" authorId="0">
      <text>
        <r>
          <t>Never recommend a preview product to a regulated customer as the plan. Name it as an option to watch, with the general availability position stated.</t>
        </r>
      </text>
    </comment>
    <comment ref="K2" authorId="0">
      <text>
        <r>
          <t>Date every product claim, and confirm before rollout.</t>
        </r>
      </text>
    </comment>
    <comment ref="P2" authorId="0">
      <text>
        <r>
          <t>Start multi-agent only if you cross a compliance boundary, multiple teams own separate domains, or growth beyond three to five functions is already planned. Otherwise test a single agent first: latency accumulates at every handoff and cost multiplies.</t>
        </r>
      </text>
    </comment>
    <comment ref="Q2" authorId="0">
      <text>
        <r>
          <t>Match model capability to task complexity. Smaller models for summarisation and routine work; reserve premium models for complex reasoning, which also carry stricter rate limits.</t>
        </r>
      </text>
    </comment>
    <comment ref="S2" authorId="0">
      <text>
        <r>
          <t>Platform team owns the foundation and guardrails. Workload teams own the end-to-end lifecycle of specific agents. The AI Centre of Excellence advises and trains.</t>
        </r>
      </text>
    </comment>
  </commentList>
</comments>
</file>

<file path=xl/comments8.xml><?xml version="1.0" encoding="utf-8"?>
<comments xmlns="http://schemas.openxmlformats.org/spreadsheetml/2006/main">
  <authors>
    <author>Author</author>
  </authors>
  <commentList>
    <comment ref="D2" authorId="0">
      <text>
        <r>
          <t>Time-boxed to one or two weeks per candidate approach.</t>
        </r>
      </text>
    </comment>
    <comment ref="G2" authorId="0">
      <text>
        <r>
          <t>Teams instinctively prototype the easiest step because it demos well, which proves nothing.</t>
        </r>
      </text>
    </comment>
    <comment ref="I2" authorId="0">
      <text>
        <r>
          <t>Against the outcome measure, not a generic quality score. Store evaluations in a shared catalogue so every team applies the same standard.</t>
        </r>
      </text>
    </comment>
    <comment ref="J2" authorId="0">
      <text>
        <r>
          <t>Prompt injection, data leakage, jailbreak. Mandatory before production and after significant updates, not optional.</t>
        </r>
      </text>
    </comment>
    <comment ref="K2" authorId="0">
      <text>
        <r>
          <t>Release only once the Stage 4 control has run for real, not just in a test script.</t>
        </r>
      </text>
    </comment>
    <comment ref="N2" authorId="0">
      <text>
        <r>
          <t>Monitor the outcome measure, not uptime. Uptime tells you the lights are on, not that the number moved.</t>
        </r>
      </text>
    </comment>
    <comment ref="Q2" authorId="0">
      <text>
        <r>
          <t>On a schedule and after any material change. A system that passed in March has told you nothing about April.</t>
        </r>
      </text>
    </comment>
    <comment ref="S2" authorId="0">
      <text>
        <r>
          <t>Keep the human control staffed, not just designed. A control with nobody watching it is a diagram.</t>
        </r>
      </text>
    </comment>
    <comment ref="T2" authorId="0">
      <text>
        <r>
          <t>A near miss, a change in reach tier, a new data source, a policy change. Decide these before they are needed, not while arguing about an incident.</t>
        </r>
      </text>
    </comment>
    <comment ref="U2" authorId="0">
      <text>
        <r>
          <t>Quarterly. Dormant agents consume quota and expand the attack surface.</t>
        </r>
      </text>
    </comment>
    <comment ref="X2" authorId="0">
      <text>
        <r>
          <t>Monthly. Find agents using premium models for simple tasks.</t>
        </r>
      </text>
    </comment>
  </commentList>
</comments>
</file>

<file path=xl/comments9.xml><?xml version="1.0" encoding="utf-8"?>
<comments xmlns="http://schemas.openxmlformats.org/spreadsheetml/2006/main">
  <authors>
    <author>Author</author>
  </authors>
  <commentList>
    <comment ref="C2" authorId="0">
      <text>
        <r>
          <t>A quick win is: not an agent, reach tier 1-2, read only, internal-or-below data, a static source, and a connection that already exists.</t>
        </r>
      </text>
    </comment>
    <comment ref="K2" authorId="0">
      <text>
        <r>
          <t>Q6 freshness plus Q7 connection plus the Stage 4 tier. Static and an existing connection means weeks. Live state or no connection means months.</t>
        </r>
      </text>
    </comment>
    <comment ref="M2" authorId="0">
      <text>
        <r>
          <t>The blanks are not gaps in our analysis. They are the customer's half of the contract, and naming them precisely is more useful than filling them with assumptions. The rows that come back filled in are the rows with a real owner.</t>
        </r>
      </text>
    </comment>
  </commentList>
</comments>
</file>

<file path=xl/comments10.xml><?xml version="1.0" encoding="utf-8"?>
<comments xmlns="http://schemas.openxmlformats.org/spreadsheetml/2006/main">
  <authors>
    <author>Author</author>
  </authors>
  <commentList>
    <comment ref="C2" authorId="0">
      <text>
        <r>
          <t>If a use case does not support strategy, pause it early.</t>
        </r>
      </text>
    </comment>
    <comment ref="D2" authorId="0">
      <text>
        <r>
          <t>Reshape business processes - enrich employee experiences - reinvent customer engagement - accelerate innovation.</t>
        </r>
      </text>
    </comment>
    <comment ref="F2" authorId="0">
      <text>
        <r>
          <t>If you cannot name the risks you cannot manage them.</t>
        </r>
      </text>
    </comment>
    <comment ref="G2" authorId="0">
      <text>
        <r>
          <t>Never advance a use case with unclear safeguards.</t>
        </r>
      </text>
    </comment>
    <comment ref="H2" authorId="0">
      <text>
        <r>
          <t>Poor alignment increases complexity and risk.</t>
        </r>
      </text>
    </comment>
    <comment ref="J2" authorId="0">
      <text>
        <r>
          <t>Choose early use cases with motivated users.</t>
        </r>
      </text>
    </comment>
    <comment ref="Q2" authorId="0">
      <text>
        <r>
          <t>None of CAF's nine sub-criteria is cost. Two ideas can both score 12 out of 15 and be wildly different propositions. CAF scores desirability. It does not score affordability - the Stage 2 value baseline is what lets you separate them.</t>
        </r>
      </text>
    </comment>
  </commentList>
</comments>
</file>

<file path=xl/sharedStrings.xml><?xml version="1.0" encoding="utf-8"?>
<sst xmlns="http://schemas.openxmlformats.org/spreadsheetml/2006/main" count="877" uniqueCount="657">
  <si>
    <t>Dropdown lists and lookup tables. Formulas on other sheets point at these ranges - do not reorder or insert rows.</t>
  </si>
  <si>
    <t>Status</t>
  </si>
  <si>
    <t>Stage 1 category</t>
  </si>
  <si>
    <t>Q1 What starts it</t>
  </si>
  <si>
    <t>Q2 Where it lands</t>
  </si>
  <si>
    <t>Q2b Connectivity</t>
  </si>
  <si>
    <t>Q3 Reach</t>
  </si>
  <si>
    <t>Q4 Permissions</t>
  </si>
  <si>
    <t>Q5 Data class</t>
  </si>
  <si>
    <t>Q6 Know or do</t>
  </si>
  <si>
    <t>Q7 Connection</t>
  </si>
  <si>
    <t>Q8a Wrong answer</t>
  </si>
  <si>
    <t>Q8b Silent failure</t>
  </si>
  <si>
    <t>Yes / No</t>
  </si>
  <si>
    <t>Assurance tier</t>
  </si>
  <si>
    <t>Verb</t>
  </si>
  <si>
    <t>Benefit type</t>
  </si>
  <si>
    <t>Hard or soft</t>
  </si>
  <si>
    <t>Gate status</t>
  </si>
  <si>
    <t>Ladder rung</t>
  </si>
  <si>
    <t>Owning team</t>
  </si>
  <si>
    <t>Phase</t>
  </si>
  <si>
    <t>Agent shape</t>
  </si>
  <si>
    <t>Not started</t>
  </si>
  <si>
    <t>Automation</t>
  </si>
  <si>
    <t>A person asks</t>
  </si>
  <si>
    <t>No interface</t>
  </si>
  <si>
    <t>Always connected</t>
  </si>
  <si>
    <t>1 Me</t>
  </si>
  <si>
    <t>Acts as the user</t>
  </si>
  <si>
    <t>Public</t>
  </si>
  <si>
    <t>Nothing</t>
  </si>
  <si>
    <t>Yes, in production</t>
  </si>
  <si>
    <t>Read only</t>
  </si>
  <si>
    <t>Yes</t>
  </si>
  <si>
    <t>Light touch</t>
  </si>
  <si>
    <t>Assist</t>
  </si>
  <si>
    <t>Time or cost released</t>
  </si>
  <si>
    <t>Hard</t>
  </si>
  <si>
    <t>Not met</t>
  </si>
  <si>
    <t>1 Not AI</t>
  </si>
  <si>
    <t>Platform team</t>
  </si>
  <si>
    <t>a Interim</t>
  </si>
  <si>
    <t>Single agent</t>
  </si>
  <si>
    <t>In discovery</t>
  </si>
  <si>
    <t>Predictive or optimisation</t>
  </si>
  <si>
    <t>A person is already working</t>
  </si>
  <si>
    <t>Inside the tool they have open</t>
  </si>
  <si>
    <t>Intermittent</t>
  </si>
  <si>
    <t>2 My team</t>
  </si>
  <si>
    <t>Acts as itself (service identity)</t>
  </si>
  <si>
    <t>Internal</t>
  </si>
  <si>
    <t>Static documents</t>
  </si>
  <si>
    <t>Yes, but not to this system</t>
  </si>
  <si>
    <t>Writes to a system</t>
  </si>
  <si>
    <t>Work is delayed</t>
  </si>
  <si>
    <t>No</t>
  </si>
  <si>
    <t>Owner approves</t>
  </si>
  <si>
    <t>Delegate</t>
  </si>
  <si>
    <t>Error and rework reduction</t>
  </si>
  <si>
    <t>Soft</t>
  </si>
  <si>
    <t>In progress</t>
  </si>
  <si>
    <t>2 Ready-made</t>
  </si>
  <si>
    <t>Workload team</t>
  </si>
  <si>
    <t>b Target</t>
  </si>
  <si>
    <t>Multi-agent: compliance boundary</t>
  </si>
  <si>
    <t>Contract agreed</t>
  </si>
  <si>
    <t>Retrieval</t>
  </si>
  <si>
    <t>A system event</t>
  </si>
  <si>
    <t>Collaboration surface</t>
  </si>
  <si>
    <t>Must work offline</t>
  </si>
  <si>
    <t>3 Function</t>
  </si>
  <si>
    <t>Confidential</t>
  </si>
  <si>
    <t>Analytical data</t>
  </si>
  <si>
    <t>Real-world effect</t>
  </si>
  <si>
    <t>A person is affected</t>
  </si>
  <si>
    <t>Unknown</t>
  </si>
  <si>
    <t>Controlled pilot</t>
  </si>
  <si>
    <t>Monitor</t>
  </si>
  <si>
    <t>Speed and responsiveness</t>
  </si>
  <si>
    <t>Met</t>
  </si>
  <si>
    <t>3 Low-code</t>
  </si>
  <si>
    <t>AI Centre of Excellence</t>
  </si>
  <si>
    <t>Single</t>
  </si>
  <si>
    <t>Multi-agent: multiple teams</t>
  </si>
  <si>
    <t>Scored</t>
  </si>
  <si>
    <t>LLM-augmented workflow</t>
  </si>
  <si>
    <t>A schedule</t>
  </si>
  <si>
    <t>Embedded in a line of business app</t>
  </si>
  <si>
    <t>Not applicable</t>
  </si>
  <si>
    <t>4 Enterprise</t>
  </si>
  <si>
    <t>Regulated</t>
  </si>
  <si>
    <t>Live system state</t>
  </si>
  <si>
    <t>Full assurance</t>
  </si>
  <si>
    <t>Specialize</t>
  </si>
  <si>
    <t>Risk and compliance avoided</t>
  </si>
  <si>
    <t>4 Pro-code</t>
  </si>
  <si>
    <t>Partner</t>
  </si>
  <si>
    <t>Multi-agent: planned growth</t>
  </si>
  <si>
    <t>Approved</t>
  </si>
  <si>
    <t>Agent</t>
  </si>
  <si>
    <t>Another agent</t>
  </si>
  <si>
    <t>Frontline device</t>
  </si>
  <si>
    <t>5 External</t>
  </si>
  <si>
    <t>Take an action</t>
  </si>
  <si>
    <t>Control</t>
  </si>
  <si>
    <t>Capacity redirected to the mission</t>
  </si>
  <si>
    <t>5 Infrastructure</t>
  </si>
  <si>
    <t>Building</t>
  </si>
  <si>
    <t>External channel</t>
  </si>
  <si>
    <t>Adapt</t>
  </si>
  <si>
    <t>Experience and retention</t>
  </si>
  <si>
    <t>Piloting</t>
  </si>
  <si>
    <t>Act locally</t>
  </si>
  <si>
    <t>Released</t>
  </si>
  <si>
    <t>Build</t>
  </si>
  <si>
    <t>Parked</t>
  </si>
  <si>
    <t>Rejected</t>
  </si>
  <si>
    <t>Stage 4 - assurance tier matrix (consequence x reach). Header row 31, data rows 32-34.</t>
  </si>
  <si>
    <t>Q8a consequence</t>
  </si>
  <si>
    <t>1-2</t>
  </si>
  <si>
    <t>3</t>
  </si>
  <si>
    <t>4-5</t>
  </si>
  <si>
    <t>Tier ordinals. Data rows 37-40.</t>
  </si>
  <si>
    <t>Tier</t>
  </si>
  <si>
    <t>Ordinal</t>
  </si>
  <si>
    <t>What it means</t>
  </si>
  <si>
    <t>Ship it. Standard guardrails only.</t>
  </si>
  <si>
    <t>Named owner signs off. Spot-checked, not gated.</t>
  </si>
  <si>
    <t>Measured pilot, defined success criteria, a decision gate.</t>
  </si>
  <si>
    <t>Evaluations, human in the loop, monitoring, a route to a person.</t>
  </si>
  <si>
    <t>Stage 5 level 2 - the eight verbs. Data rows 43-50.</t>
  </si>
  <si>
    <t>Lands on</t>
  </si>
  <si>
    <t>Selected by</t>
  </si>
  <si>
    <t>Microsoft 365 Copilot</t>
  </si>
  <si>
    <t>Q1 person already working - Q2 inside the tool they have open - Q8a read only</t>
  </si>
  <si>
    <t>Copilot Cowork</t>
  </si>
  <si>
    <t>Q1 person asks - Q6 take an action across several M365 surfaces - returns a finished artefact</t>
  </si>
  <si>
    <t>Fabric operations agent</t>
  </si>
  <si>
    <t>Q1 system event or schedule - Q6 live system state - Q2 no interface, output arrives in Teams</t>
  </si>
  <si>
    <t>Declarative agent / Agent Builder</t>
  </si>
  <si>
    <t>Q1 person asks - Q6 static documents - Q3 team or function - stable scope</t>
  </si>
  <si>
    <t>Copilot Studio, standard harness</t>
  </si>
  <si>
    <t>Q8a writes to a system - consistency and branching matter - analytics and channel publishing</t>
  </si>
  <si>
    <t>Copilot Studio, GitHub Copilot harness</t>
  </si>
  <si>
    <t>Reasoning-heavy - multi-tool - document-intensive - the path is not fixed</t>
  </si>
  <si>
    <t>Microsoft Scout</t>
  </si>
  <si>
    <t>Q2 local files, shell or browser - Q5 data that should not leave the device</t>
  </si>
  <si>
    <t>Microsoft Foundry (+ Foundry Local)</t>
  </si>
  <si>
    <t>Q3 tier 4-5 - Q5 regulated - Q8a real-world effect - needs evaluation, tracing, VNet</t>
  </si>
  <si>
    <t>Q5 - what each data class forces. Data rows 53-56.</t>
  </si>
  <si>
    <t>Answer</t>
  </si>
  <si>
    <t>What it forces</t>
  </si>
  <si>
    <t>Must not touch internal sources. Separate environment from internal agents.</t>
  </si>
  <si>
    <t>Standard M365 or Foundry standard setup, public networking. Labels honoured.</t>
  </si>
  <si>
    <t>Foundry standard with private networking, or Copilot Studio with data location set. Explicit DLP policy. Named retention period.</t>
  </si>
  <si>
    <t>All of the above, plus consent and residency answered before build, plus retention and deletion mechanisms, plus a named accountable human.</t>
  </si>
  <si>
    <t>Stage 4 - release gate, the three tests behind each check.</t>
  </si>
  <si>
    <t>Check</t>
  </si>
  <si>
    <t>Test 1</t>
  </si>
  <si>
    <t>Test 2</t>
  </si>
  <si>
    <t>Test 3</t>
  </si>
  <si>
    <t>1. Accountable</t>
  </si>
  <si>
    <t>Named business owner</t>
  </si>
  <si>
    <t>Named technical owner</t>
  </si>
  <si>
    <t>Intended users and purpose recorded</t>
  </si>
  <si>
    <t>2. Identifiable</t>
  </si>
  <si>
    <t>Agent entered in the organisational registry</t>
  </si>
  <si>
    <t>One distinct identity</t>
  </si>
  <si>
    <t>Ownership and lifecycle status visible</t>
  </si>
  <si>
    <t>3. Constrained</t>
  </si>
  <si>
    <t>Only required data and tools allowed</t>
  </si>
  <si>
    <t>User-delegated or service identity explicitly chosen</t>
  </si>
  <si>
    <t>External connections approved</t>
  </si>
  <si>
    <t>4. Tested</t>
  </si>
  <si>
    <t>Success and failure criteria defined</t>
  </si>
  <si>
    <t>Security and adversarial testing completed</t>
  </si>
  <si>
    <t>Human intervention defined where required</t>
  </si>
  <si>
    <t>5. Observable</t>
  </si>
  <si>
    <t>Activity, quality, access and cost monitored</t>
  </si>
  <si>
    <t>Logs retained according to policy</t>
  </si>
  <si>
    <t>Alerts routed to the appropriate operational team</t>
  </si>
  <si>
    <t>6. Recoverable</t>
  </si>
  <si>
    <t>Kill switch or disable path</t>
  </si>
  <si>
    <t>Incident owner and escalation path</t>
  </si>
  <si>
    <t>Rollback, evidence preservation and review process</t>
  </si>
  <si>
    <t>Stage 2 - benefit types.</t>
  </si>
  <si>
    <t>Typically</t>
  </si>
  <si>
    <t>Example</t>
  </si>
  <si>
    <t>Hours returned to a team</t>
  </si>
  <si>
    <t>Fewer corrections, fewer escalations</t>
  </si>
  <si>
    <t>Days to hours in a process</t>
  </si>
  <si>
    <t>Soft, sometimes very large</t>
  </si>
  <si>
    <t>Audit readiness, a missed obligation avoided</t>
  </si>
  <si>
    <t>More time with clients rather than fewer staff</t>
  </si>
  <si>
    <t>Reduced administrative burden on frontline staff</t>
  </si>
  <si>
    <t>Is your human in the loop real?</t>
  </si>
  <si>
    <t>Real</t>
  </si>
  <si>
    <t>Theatre</t>
  </si>
  <si>
    <t>A specific condition triggers review, not 'sometimes'</t>
  </si>
  <si>
    <t>Everything gets flagged, so reviewers stopped reading</t>
  </si>
  <si>
    <t>The reviewer sees the reasoning</t>
  </si>
  <si>
    <t>The reviewer only sees the final output</t>
  </si>
  <si>
    <t>Rejecting has actually been exercised</t>
  </si>
  <si>
    <t>Nobody has ever clicked reject</t>
  </si>
  <si>
    <t>The decision and its reason are logged</t>
  </si>
  <si>
    <t>No record of who approved what</t>
  </si>
  <si>
    <t>Stage 1 - four outcomes, and only one is an agent.</t>
  </si>
  <si>
    <t>Outcome</t>
  </si>
  <si>
    <t>Test</t>
  </si>
  <si>
    <t>Goes to</t>
  </si>
  <si>
    <t>AI governance?</t>
  </si>
  <si>
    <t>Steps are clear, repeatable, follow strict rules</t>
  </si>
  <si>
    <t>Power Automate, Logic Apps, code</t>
  </si>
  <si>
    <t>Forecasting, scoring, matching or pattern-finding rather than language</t>
  </si>
  <si>
    <t>Fabric data science, Azure ML, prebuilt Foundry models</t>
  </si>
  <si>
    <t>Model governance, not agent governance</t>
  </si>
  <si>
    <t>Static question and answer, or summarising a fixed set of documents</t>
  </si>
  <si>
    <t>SharePoint agent, Copilot Studio retrieval agent, classic RAG</t>
  </si>
  <si>
    <t>Light</t>
  </si>
  <si>
    <t>A fixed flow with exactly one intelligent step: summarise, classify, extract, draft</t>
  </si>
  <si>
    <t>A flow with an AI action, or a scheduled prompt</t>
  </si>
  <si>
    <t>Proportional to consequence</t>
  </si>
  <si>
    <t>Decides its own next step, picks its own tools, copes with messy input</t>
  </si>
  <si>
    <t>Continue to Stage 2</t>
  </si>
  <si>
    <t>Yes, full</t>
  </si>
  <si>
    <t>AI use case decision workbook  -  WORKED SAMPLE</t>
  </si>
  <si>
    <t>Two illustrative rows, filled in end to end, so the method can be read without a customer in the room. Every name, number and system is invented. UC-01 is what a genuine quick win looks like. UC-02 is what one does not, and the workbook says why in each column rather than just asserting it. Delete both rows to use this as a live workbook.</t>
  </si>
  <si>
    <t>How to use it</t>
  </si>
  <si>
    <t>One row per job</t>
  </si>
  <si>
    <t>Row 3 on every sheet is the same use case as row 3 on every other sheet. Split vague labels into jobs before you start: one label often covers three or four jobs, each with a different risk profile and a different owner. Phase a use case with a shared ID and the Phase column - UC-06a interim, UC-06b target - and score each phase separately.</t>
  </si>
  <si>
    <t>Cream cells are yours</t>
  </si>
  <si>
    <t>Cream cells are inputs. Blue-grey italic cells are calculated - do not type in them.</t>
  </si>
  <si>
    <t>Work left to right</t>
  </si>
  <si>
    <t>Register, then Outcome contract, then Eight questions. Assurance and gate, Technology direction and Answers out then fill themselves in.</t>
  </si>
  <si>
    <t>Blanks are the deliverable</t>
  </si>
  <si>
    <t>The value baseline and owner cells are usually the emptiest in the workbook and only the customer can fill them. A named, specific list of what is missing is a more useful deliverable than a set of confident guesses. The last column of Answers out builds that list per row automatically.</t>
  </si>
  <si>
    <t>The eight stages</t>
  </si>
  <si>
    <t>Stage 0 - Business plan for AI agents</t>
  </si>
  <si>
    <t>Frame the list. Desirability, feasibility, viability, responsibility. Split vague labels into jobs, deduplicate, allow phasing.</t>
  </si>
  <si>
    <t>Stage 1 - Is this AI at all?</t>
  </si>
  <si>
    <t>Four outcomes and only one is an agent: automation, predictive, LLM-augmented, agent, with retrieval alongside as the light case. The highest-value gate in the framework for saving money.</t>
  </si>
  <si>
    <t>Stage 2 - The outcome contract</t>
  </si>
  <si>
    <t>The result, the owner, the boundary, the gates, the value baseline. Five things, all before anyone opens a product page.</t>
  </si>
  <si>
    <t>Stage 3 - The eight questions</t>
  </si>
  <si>
    <t>None of them names a product. Answer them and the platform, retrieval pattern, identity model, network topology and assurance bar are already determined.</t>
  </si>
  <si>
    <t>Stage 4 - Assurance tier and release gate</t>
  </si>
  <si>
    <t>Consequence by reach sets the tier. Q8b lifts it. Regulated data floors it. Then six checks: accountable, identifiable, constrained, tested, observable, recoverable.</t>
  </si>
  <si>
    <t>Stage 5 - Technology direction</t>
  </si>
  <si>
    <t>Prefer the lowest rung that works, and read assurance before category. Low-code supports autonomous agents - do not climb a rung you do not need.</t>
  </si>
  <si>
    <t>Stage 6 - Prove it</t>
  </si>
  <si>
    <t>Prototype time-boxed, pilot the hardest step, evaluate against the Stage 2 measure, red team, release only once the control has run for real.</t>
  </si>
  <si>
    <t>Stage 7 - Operate</t>
  </si>
  <si>
    <t>Monitor the outcome measure not uptime, re-evaluate on a schedule, keep the control staffed, name the back-to-design triggers, audit the estate.</t>
  </si>
  <si>
    <t>The sheets</t>
  </si>
  <si>
    <t>Register</t>
  </si>
  <si>
    <t>Identity, Stage 0 scores, Stage 1 category, and the rollup of every calculated answer.</t>
  </si>
  <si>
    <t>Outcome contract</t>
  </si>
  <si>
    <t>Stage 2. The five contract items and the six value baseline measurements.</t>
  </si>
  <si>
    <t>Eight questions</t>
  </si>
  <si>
    <t>Stage 3. Q1 to Q8b, plus intended versus pilot reach and the connectivity assumption.</t>
  </si>
  <si>
    <t>Assurance and gate</t>
  </si>
  <si>
    <t>Stage 4. Calculated tier with the working shown, then the six-point release gate.</t>
  </si>
  <si>
    <t>Technology direction</t>
  </si>
  <si>
    <t>Stage 5. Calculated ladder rung, suggested verb, landing product, run-location constraints.</t>
  </si>
  <si>
    <t>Prove and operate</t>
  </si>
  <si>
    <t>Stages 6 and 7. Prototype, evaluation, red team, release, then the run obligations.</t>
  </si>
  <si>
    <t>Answers out</t>
  </si>
  <si>
    <t>The eight columns the customer asked for, produced from the stages above.</t>
  </si>
  <si>
    <t>Scoring</t>
  </si>
  <si>
    <t>The Cloud Adoption Framework's nine sub-criteria, three axes, 1 to 5.</t>
  </si>
  <si>
    <t>Lists</t>
  </si>
  <si>
    <t>Dropdown lists and lookup tables. Formulas point at these ranges - do not reorder.</t>
  </si>
  <si>
    <t>Decision logic</t>
  </si>
  <si>
    <t>How every calculated column is derived, in words.</t>
  </si>
  <si>
    <t>Platform reference</t>
  </si>
  <si>
    <t>The seven surfaces, what they run on, what they are best for.</t>
  </si>
  <si>
    <t>References</t>
  </si>
  <si>
    <t>Cloud Adoption Framework sources, per stage.</t>
  </si>
  <si>
    <t>Version and status</t>
  </si>
  <si>
    <t>What this is</t>
  </si>
  <si>
    <t>An independent decision framework and the author's own professional recommendations. It builds on publicly available Microsoft Cloud Adoption Framework guidance, which is linked at each stage. It is NOT official Microsoft guidance, NOT a Microsoft product, and NOT supported by Microsoft.</t>
  </si>
  <si>
    <t>Not professional advice</t>
  </si>
  <si>
    <t>Nothing here is legal, regulatory, clinical, privacy or financial advice. The assurance tiers and governance positions are the author's recommendations, not a compliance standard. Validate against your own obligations and take professional advice where those obligations apply.</t>
  </si>
  <si>
    <t>No commercial terms</t>
  </si>
  <si>
    <t>This workbook deliberately carries no licensing, pricing or entitlement information. Those are customer-specific, move quarterly, and are not this framework's to state. Confirm licensing, preview status and regional availability with Microsoft before any recommendation.</t>
  </si>
  <si>
    <t>Product claims</t>
  </si>
  <si>
    <t>The framework names capabilities. Where the workbook names a product, treat it as current-as-checked and confirm before rollout.</t>
  </si>
  <si>
    <t>No warranty</t>
  </si>
  <si>
    <t>Provided as is, without warranty of any kind. You are responsible for decisions made using it.</t>
  </si>
  <si>
    <t>Generated</t>
  </si>
  <si>
    <t>2026-09-10</t>
  </si>
  <si>
    <t>IDENTITY</t>
  </si>
  <si>
    <t>STAGE 0  BUSINESS PLAN (1-5 each)</t>
  </si>
  <si>
    <t>STAGE 1  IS THIS AI AT ALL?</t>
  </si>
  <si>
    <t>ROLLUP (calculated)</t>
  </si>
  <si>
    <t>ID</t>
  </si>
  <si>
    <t>Use case (one job, one owner, one risk profile)</t>
  </si>
  <si>
    <t>What it actually does, in one sentence</t>
  </si>
  <si>
    <t>Business area</t>
  </si>
  <si>
    <t>Requested by</t>
  </si>
  <si>
    <t>Date reviewed</t>
  </si>
  <si>
    <t>Duplicate of / related to</t>
  </si>
  <si>
    <t>Desirability</t>
  </si>
  <si>
    <t>Feasibility</t>
  </si>
  <si>
    <t>Viability</t>
  </si>
  <si>
    <t>Responsibility (1-5)</t>
  </si>
  <si>
    <t>Stage 0 total (of 20)</t>
  </si>
  <si>
    <t>Language or judgement needed?</t>
  </si>
  <si>
    <t>Forecasting, scoring or matching?</t>
  </si>
  <si>
    <t>Multi-step decisions?</t>
  </si>
  <si>
    <t>Many tools or systems?</t>
  </si>
  <si>
    <t>Adaptive to messy input?</t>
  </si>
  <si>
    <t>Suggested category</t>
  </si>
  <si>
    <t>Category (confirmed)</t>
  </si>
  <si>
    <t>Route if it is not an agent</t>
  </si>
  <si>
    <t>Time estimate</t>
  </si>
  <si>
    <t>Quick win?</t>
  </si>
  <si>
    <t>Contract complete</t>
  </si>
  <si>
    <t>UC-01</t>
  </si>
  <si>
    <t>Policy and procedure assistant</t>
  </si>
  <si>
    <t>Answers staff questions about internal policy by searching the approved policy library on SharePoint, and quotes the source document in every answer.</t>
  </si>
  <si>
    <t>People and Culture</t>
  </si>
  <si>
    <t>A. Whitfield, Head of P&amp;C Operations</t>
  </si>
  <si>
    <t/>
  </si>
  <si>
    <t>UC-02</t>
  </si>
  <si>
    <t>Clinical visit scribe</t>
  </si>
  <si>
    <t>A care worker speaks a summary at the end of a home visit; the agent drafts the clinical progress note, files it against the client record, and flags anything a clinician needs to review.</t>
  </si>
  <si>
    <t>Clinical Services</t>
  </si>
  <si>
    <t>Dr M. Ferreira, Clinical Director</t>
  </si>
  <si>
    <t>Related to UC-01 only in that both were labelled "an AI assistant" on the original list. Split at Stage 0.</t>
  </si>
  <si>
    <t>USE CASE</t>
  </si>
  <si>
    <t>THE CONTRACT  -  five things, all before anyone opens a product page</t>
  </si>
  <si>
    <t>5 THE VALUE BASELINE  -  six measurements of the process as it runs today</t>
  </si>
  <si>
    <t>CALCULATED</t>
  </si>
  <si>
    <t>Use case</t>
  </si>
  <si>
    <t>1 The result: an outcome with a number, not a feature</t>
  </si>
  <si>
    <t>Metric that moves</t>
  </si>
  <si>
    <t>Baseline today</t>
  </si>
  <si>
    <t>Target</t>
  </si>
  <si>
    <t>2 Owner: build</t>
  </si>
  <si>
    <t>2 Owner: after go-live</t>
  </si>
  <si>
    <t>3 The boundary: what it will explicitly refuse to do</t>
  </si>
  <si>
    <t>4 Gate: prototype</t>
  </si>
  <si>
    <t>4 Gate: pilot</t>
  </si>
  <si>
    <t>4 Gate: release</t>
  </si>
  <si>
    <t>V1 People doing this work today</t>
  </si>
  <si>
    <t>V2 Times per person per year</t>
  </si>
  <si>
    <t>V3 Minutes each time</t>
  </si>
  <si>
    <t>V4a How often it goes wrong</t>
  </si>
  <si>
    <t>V4b Cost each time it goes wrong</t>
  </si>
  <si>
    <t>V5 Metric today</t>
  </si>
  <si>
    <t>V6 What happens to the time saved</t>
  </si>
  <si>
    <t>Annual hours in the process today</t>
  </si>
  <si>
    <t>Annual cost of getting it wrong</t>
  </si>
  <si>
    <t>Value baseline captured</t>
  </si>
  <si>
    <t>Note</t>
  </si>
  <si>
    <t>Cut policy questions reaching the P&amp;C inbox from 240 a month to under 100, within one quarter of release.</t>
  </si>
  <si>
    <t>Policy questions reaching the P&amp;C shared inbox each month</t>
  </si>
  <si>
    <t>240 a month</t>
  </si>
  <si>
    <t>Under 100 a month</t>
  </si>
  <si>
    <t>A. Whitfield</t>
  </si>
  <si>
    <t>D. Okonjo, P&amp;C Systems Lead</t>
  </si>
  <si>
    <t>Will not interpret an individual employment contract, will not comment on a live grievance, and will not answer anything the policy library does not cover. Says so and names the person to ask.</t>
  </si>
  <si>
    <t>Answers 20 seeded questions with the correct source document cited.</t>
  </si>
  <si>
    <t>30 staff over 4 weeks. At least 70 per cent rate the answer useful, and no incorrect citation.</t>
  </si>
  <si>
    <t>Inbox volume down 30 per cent, and the monthly spot check clean two months running.</t>
  </si>
  <si>
    <t>Returned to P&amp;C advisers as casework time. Two advisers move off inbox triage onto the case backlog, which is the constraint the team actually feels.</t>
  </si>
  <si>
    <t>Cut after-hours documentation from 45 minutes a shift to under 15, without the clinical note audit score falling.</t>
  </si>
  <si>
    <t>Documentation minutes per care worker per shift, and the monthly clinical note audit score</t>
  </si>
  <si>
    <t>45 minutes a shift. Audit score 82 per cent.</t>
  </si>
  <si>
    <t>Under 15 minutes, with the audit score no lower than 82 per cent</t>
  </si>
  <si>
    <t>Dr M. Ferreira</t>
  </si>
  <si>
    <t>Will not make a clinical assessment, will not change a care plan, will not record a medication administration, and will not file any note the care worker has not confirmed on screen.</t>
  </si>
  <si>
    <t>Transcribes 30 recorded visits with no clinical terminology errors in a clinician review.</t>
  </si>
  <si>
    <t>12 care workers, 4 weeks, across two regions including one with poor mobile coverage. Notes audited weekly.</t>
  </si>
  <si>
    <t>Audit score held, consent position signed off by Privacy, and zero notes filed without confirmation.</t>
  </si>
  <si>
    <t>Returned to direct client contact. Measured against the board target of two extra client-facing hours per care worker per fortnight, not against headcount.</t>
  </si>
  <si>
    <t>Q1-Q4  SHAPE, REACH AND IDENTITY</t>
  </si>
  <si>
    <t>Q5-Q8  DATA, CONNECTION AND CONSEQUENCE</t>
  </si>
  <si>
    <t>RECORDED, BUT NOT QUESTIONS</t>
  </si>
  <si>
    <t>Q1 What starts it?</t>
  </si>
  <si>
    <t>Q2 Where does the answer land?</t>
  </si>
  <si>
    <t>Q2b Connectivity assumption</t>
  </si>
  <si>
    <t>Q3 Intended reach</t>
  </si>
  <si>
    <t>Q3 Pilot reach</t>
  </si>
  <si>
    <t>Q4 Whose permissions?</t>
  </si>
  <si>
    <t>Q4 Identity of record</t>
  </si>
  <si>
    <t>Q5 What class of data?</t>
  </si>
  <si>
    <t>Q5 What that forces</t>
  </si>
  <si>
    <t>Q6 What must it know or do?</t>
  </si>
  <si>
    <t>Q7 Does the connection exist?</t>
  </si>
  <si>
    <t>Q7 Source systems</t>
  </si>
  <si>
    <t>Q8a If it gives a wrong answer</t>
  </si>
  <si>
    <t>Q8b If it silently does nothing</t>
  </si>
  <si>
    <t>Ready-made agent available?</t>
  </si>
  <si>
    <t>Do these users have the licences?</t>
  </si>
  <si>
    <t>Needs memory between uses?</t>
  </si>
  <si>
    <t>Will it grow beyond 3-5 functions?</t>
  </si>
  <si>
    <t>How often the source changes</t>
  </si>
  <si>
    <t>Retrieval decision record</t>
  </si>
  <si>
    <t>Entra Agent ID  agent-policy-assistant-prod</t>
  </si>
  <si>
    <t>SharePoint Online, Policy Library site. No other source.</t>
  </si>
  <si>
    <t>Policies are reviewed annually. Roughly six documents change a quarter.</t>
  </si>
  <si>
    <t>Policy documents: retrieval over the governed SharePoint index, inheriting the document permissions that already exist. No tool calls and no write scope, so there is nothing else to record.</t>
  </si>
  <si>
    <t>Entra Agent ID  agent-clinical-scribe-nonprod. The production identity has not been issued.</t>
  </si>
  <si>
    <t>AlayaCare client record system, and the mobile visit app. There is no write API to AlayaCare today.</t>
  </si>
  <si>
    <t>The client record changes continuously through the day.</t>
  </si>
  <si>
    <t>Clinical notes: MCP call to AlayaCare, write scope, care worker confirmation required before the write. No index of clinical content is created. Terminology list: retrieval over a governed index.</t>
  </si>
  <si>
    <t>THE TIER, WITH THE WORKING SHOWN</t>
  </si>
  <si>
    <t>RELEASE GATE  -  no agent moves forward without passing</t>
  </si>
  <si>
    <t>CONTROL PLANE BASELINE  -  applies at every tier, including tier 1</t>
  </si>
  <si>
    <t>Q3 intended reach</t>
  </si>
  <si>
    <t>Reach band</t>
  </si>
  <si>
    <t>Base tier from the matrix</t>
  </si>
  <si>
    <t>Q8b lift</t>
  </si>
  <si>
    <t>Q5 floor</t>
  </si>
  <si>
    <t>Base ordinal</t>
  </si>
  <si>
    <t>Final ordinal</t>
  </si>
  <si>
    <t>ASSURANCE TIER</t>
  </si>
  <si>
    <t>What that means</t>
  </si>
  <si>
    <t>Named approver</t>
  </si>
  <si>
    <t>Human in the loop: the trigger condition</t>
  </si>
  <si>
    <t>Has reject ever been exercised?</t>
  </si>
  <si>
    <t>1 Accountable</t>
  </si>
  <si>
    <t>2 Identifiable</t>
  </si>
  <si>
    <t>3 Constrained</t>
  </si>
  <si>
    <t>4 Tested</t>
  </si>
  <si>
    <t>5 Observable</t>
  </si>
  <si>
    <t>6 Recoverable</t>
  </si>
  <si>
    <t>Evidence / link</t>
  </si>
  <si>
    <t>GATE STATUS</t>
  </si>
  <si>
    <t>Registry entry</t>
  </si>
  <si>
    <t>Cost tag</t>
  </si>
  <si>
    <t>Observability</t>
  </si>
  <si>
    <t>AI involvement disclosed</t>
  </si>
  <si>
    <t>What happens when the owner leaves</t>
  </si>
  <si>
    <t>Ten answers a month are spot checked against the source document. Any answer citing a superseded policy goes straight to the P&amp;C Systems Lead.</t>
  </si>
  <si>
    <t>Governance register entry GOV-2026-114</t>
  </si>
  <si>
    <t>Ownership sits with the P&amp;C Operations Manager role, not the individual. Recorded on the registry entry.</t>
  </si>
  <si>
    <t>Clinical Governance Committee, chaired by Dr M. Ferreira</t>
  </si>
  <si>
    <t>Every note is confirmed on screen by the care worker before it is filed. Any note the agent flags as uncertain, and every note for a client on a restrictive practice plan, is queued for a clinician first.</t>
  </si>
  <si>
    <t>Draft charter CG-2026-31. The privacy impact assessment has not started.</t>
  </si>
  <si>
    <t>Not answered. On the agenda for the September clinical governance meeting.</t>
  </si>
  <si>
    <t>LEVEL 1  THE LADDER  -  read assurance before category</t>
  </si>
  <si>
    <t>LEVEL 2  SELECT BY THE VERB</t>
  </si>
  <si>
    <t>LEVEL 3  WHERE IT RUNS  -  hard constraints, or you discover them during a pilot</t>
  </si>
  <si>
    <t>SHAPE OF THE BUILD</t>
  </si>
  <si>
    <t>Suggested rung</t>
  </si>
  <si>
    <t>Rung (confirmed)</t>
  </si>
  <si>
    <t>Why</t>
  </si>
  <si>
    <t>Suggested verb</t>
  </si>
  <si>
    <t>Verb (confirmed)</t>
  </si>
  <si>
    <t>Product (final)</t>
  </si>
  <si>
    <t>Date checked</t>
  </si>
  <si>
    <t>Must work with no connectivity</t>
  </si>
  <si>
    <t>Must run while nobody is present</t>
  </si>
  <si>
    <t>Data must not leave the device or region</t>
  </si>
  <si>
    <t>Must extend well beyond launch</t>
  </si>
  <si>
    <t>Single or multi-agent</t>
  </si>
  <si>
    <t>Model selection</t>
  </si>
  <si>
    <t>Memory</t>
  </si>
  <si>
    <t>Microsoft 365 Copilot declarative agent, grounded on the Policy Library SharePoint site</t>
  </si>
  <si>
    <t>Default model. Retrieval and citation only, with no complex reasoning, so there is no case for a premium model.</t>
  </si>
  <si>
    <t>Microsoft Foundry, with Foundry Local under evaluation for on-device transcription where there is no signal. Both to be reconfirmed before any rollout decision.</t>
  </si>
  <si>
    <t>A premium model for the drafting step and a small model for the terminology check. Premium rate limits still to be tested against the 5pm shift-end peak, which is when nearly all of the load lands.</t>
  </si>
  <si>
    <t>STAGE 6  BEFORE RELEASE</t>
  </si>
  <si>
    <t>STAGE 7  AFTER RELEASE</t>
  </si>
  <si>
    <t>1 Prototype start</t>
  </si>
  <si>
    <t>1 Prototype end</t>
  </si>
  <si>
    <t>Days</t>
  </si>
  <si>
    <t>Time-box respected?</t>
  </si>
  <si>
    <t>2 The hardest step (not the easiest)</t>
  </si>
  <si>
    <t>2 Hardest step piloted?</t>
  </si>
  <si>
    <t>3 Evaluated against the Stage 2 measure?</t>
  </si>
  <si>
    <t>4 Red team date</t>
  </si>
  <si>
    <t>5 Has the control run for real?</t>
  </si>
  <si>
    <t>Release date</t>
  </si>
  <si>
    <t>Ready to release?</t>
  </si>
  <si>
    <t>1 Outcome measure being monitored</t>
  </si>
  <si>
    <t>1 Current value</t>
  </si>
  <si>
    <t>1 As at</t>
  </si>
  <si>
    <t>2 Re-evaluation cadence</t>
  </si>
  <si>
    <t>2 Last re-evaluation</t>
  </si>
  <si>
    <t>3 Control staffed by</t>
  </si>
  <si>
    <t>4 Back-to-design triggers</t>
  </si>
  <si>
    <t>5 Last estate audit</t>
  </si>
  <si>
    <t>5 Still in use?</t>
  </si>
  <si>
    <t>5 Keep or retire</t>
  </si>
  <si>
    <t>Consumption review note</t>
  </si>
  <si>
    <t>Questions that span two policies where the more recent one has to win. Not the single-policy lookups, which always demo well and prove nothing.</t>
  </si>
  <si>
    <t>186 a month</t>
  </si>
  <si>
    <t>Quarterly, and after any restructure of the policy library</t>
  </si>
  <si>
    <t>A confidently wrong citation reaching a manager. The reach tier moving beyond P&amp;C. The policy library being restructured. Any change to the retention policy on the site.</t>
  </si>
  <si>
    <t>Keep</t>
  </si>
  <si>
    <t>Well inside the seeded credit allocation. Nothing to review this month.</t>
  </si>
  <si>
    <t>Offline capture and later sync from a client home with no mobile signal. Not transcription accuracy, which already works on a desk and is not the risk.</t>
  </si>
  <si>
    <t>Monthly once released, and after any model change</t>
  </si>
  <si>
    <t>Not yet staffed. This is the open item at the pilot gate.</t>
  </si>
  <si>
    <t>Any note filed without confirmation. A clinical terminology error reaching a client record. A change in the consent position. Extension beyond the two pilot regions. Any change to the data residency position.</t>
  </si>
  <si>
    <t>1  QUICK WIN AND FEASIBILITY</t>
  </si>
  <si>
    <t>2-3  TOOLS AND SKILLS</t>
  </si>
  <si>
    <t>4-6  COST AND TIME</t>
  </si>
  <si>
    <t>7-8  SUPPORT, AND WHAT WE NEED BACK</t>
  </si>
  <si>
    <t>Why not (the first failing test)</t>
  </si>
  <si>
    <t>Integration-led?</t>
  </si>
  <si>
    <t>Tools required</t>
  </si>
  <si>
    <t>Skills and roles required</t>
  </si>
  <si>
    <t>Development effort</t>
  </si>
  <si>
    <t>Operations effort</t>
  </si>
  <si>
    <t>Microsoft support</t>
  </si>
  <si>
    <t>Additional information required from the customer</t>
  </si>
  <si>
    <t>BUSINESS IMPACT (1-5 each)</t>
  </si>
  <si>
    <t>TECHNICAL FEASIBILITY (1-5 each)</t>
  </si>
  <si>
    <t>USER DESIRABILITY (1-5 each)</t>
  </si>
  <si>
    <t>AXES</t>
  </si>
  <si>
    <t>Executive strategy alignment</t>
  </si>
  <si>
    <t>Business value (the four value areas)</t>
  </si>
  <si>
    <t>Change management timeframe</t>
  </si>
  <si>
    <t>Implementation and operation risks</t>
  </si>
  <si>
    <t>Sufficient safeguards</t>
  </si>
  <si>
    <t>Technology fit with existing systems</t>
  </si>
  <si>
    <t>Key personas understood</t>
  </si>
  <si>
    <t>Value proposition to the user</t>
  </si>
  <si>
    <t>Change resistance</t>
  </si>
  <si>
    <t>Business impact (of 15)</t>
  </si>
  <si>
    <t>Technical feasibility (of 15)</t>
  </si>
  <si>
    <t>User desirability (of 15)</t>
  </si>
  <si>
    <t>Total (of 45)</t>
  </si>
  <si>
    <t>Rank</t>
  </si>
  <si>
    <t>How every calculated column is derived</t>
  </si>
  <si>
    <t>Calculated column</t>
  </si>
  <si>
    <t>Lives on</t>
  </si>
  <si>
    <t>How it is derived</t>
  </si>
  <si>
    <t>Forecasting, scoring or matching = Yes gives Predictive. Otherwise language or judgement = No gives Automation. Otherwise all three CAF positive tests true (multi-step, many tools, adaptive) gives Agent. Otherwise multi-step and many tools both No gives Retrieval. Everything else is an LLM-augmented workflow.</t>
  </si>
  <si>
    <t>Confirmed beats suggested</t>
  </si>
  <si>
    <t>Register, Technology direction</t>
  </si>
  <si>
    <t>Three columns come in suggested and confirmed pairs: the Stage 1 category, the ladder rung and the verb. Leave the confirmed cell blank and the suggestion flows straight through to every downstream column, so nothing stalls. Type anything into the confirmed cell and the override wins everywhere. This is where human judgement enters the model: the suggestion is a default, not a decision.</t>
  </si>
  <si>
    <t>Stage 0 lenses</t>
  </si>
  <si>
    <t>Desirability, feasibility and viability are pulled from the three CAF axes on the Scoring sheet and rescaled from their 3-15 range to 1-5, so all four lenses carry equal weight. Responsibility is scored directly on the Register, because none of CAF's nine sub-criteria covers it. The total is out of 20.</t>
  </si>
  <si>
    <t>V1 people x V2 times per person per year x V3 minutes, divided by 60. Blank unless all three are present. This is a fact about the current process, not a benefit claim.</t>
  </si>
  <si>
    <t>V1 x V2 x V4a error rate x V4b cost each time. The most commonly omitted benefit, and frequently the largest.</t>
  </si>
  <si>
    <t>Q5 what that forces</t>
  </si>
  <si>
    <t>A straight lookup of the data class against the Q5 table on Lists. Q5 is the only question that decides private networking, data location and retention.</t>
  </si>
  <si>
    <t>Q8a consequence against the reach band from Q3 intended reach. Read only gives light touch, owner approves, controlled pilot. Writes to a system gives owner approves, controlled pilot, full assurance. Real-world effect gives controlled pilot, full assurance, full assurance.</t>
  </si>
  <si>
    <t>The base ordinal, plus one if Q8b says a silent failure affects a person, then floored at three (controlled pilot) if Q5 is regulated, then capped at four. A read-only clinical assistant used by one person is not a light touch item.</t>
  </si>
  <si>
    <t>Passed only when all six release-gate checks are answered and none is Not met or In progress. Any Not met gives Blocked. Fewer than six answers gives Incomplete.</t>
  </si>
  <si>
    <t>Automation or predictive gives rung 1. Then assurance is read before category: regulated data, a real-world effect or a full assurance tier escalates to rung 4 regardless of how simple the category looked. A ready-made agent plus a static or no-knowledge source at tier 1-2 gives rung 2. Everything else is rung 3, low-code, which does support autonomous agents.</t>
  </si>
  <si>
    <t>A system event, a schedule or another agent gives Monitor, the only machine-initiated verb. Enterprise or external reach, regulated data or a real-world effect gives Build. A person already working, inside the tool they have open, read only gives Assist. Take an action gives Delegate. Writes to a system gives Control. Static documents gives Specialize. Everything else is Adapt. Act locally is never suggested automatically: select it manually when the work is local files, shell or browser.</t>
  </si>
  <si>
    <t>A lookup of the confirmed verb against the eight-verb table on Lists. Product names are volatile, so record the final product and the date it was checked in the two columns beside it.</t>
  </si>
  <si>
    <t>Level 3 constraints</t>
  </si>
  <si>
    <t>Connectivity from Q2b, unattended running from Q1, data locality from Q5, extensibility from intended reach exceeding pilot reach. These are hard constraints you will otherwise discover during a pilot.</t>
  </si>
  <si>
    <t>Yes only when the hardest step was piloted, an evaluation exists against the Stage 2 measure, the control has run for real, and the Stage 4 release gate has passed.</t>
  </si>
  <si>
    <t>Not an agent, reach tier 1-2, read only, public or internal data, nothing or static documents as the source, and a connection that already exists in production. Any single failure disqualifies it, and the next column names the first failing test.</t>
  </si>
  <si>
    <t>No connection gives months and the row is integration-led. Live system state or take an action gives months. Analytical data gives weeks to months. Otherwise weeks, extended by a full assurance cycle where the tier demands it.</t>
  </si>
  <si>
    <t>Additional information required</t>
  </si>
  <si>
    <t>Concatenates the name of every blank Stage 2 contract cell, every blank value baseline measurement, and any blank Q1, Q5, Q7 or Q8a answer. This column is the deliverable back to the customer.</t>
  </si>
  <si>
    <t>Three rules that are easy to get backwards</t>
  </si>
  <si>
    <t>Read assurance before category</t>
  </si>
  <si>
    <t>Stage 5</t>
  </si>
  <si>
    <t>Branching on category first is how a clinical scribe gets correctly rated full assurance and is then still described as 'a flow with an AI action'. If the tier is controlled pilot or full assurance, the direction escalates regardless of category, and the row must not be described as a simple flow.</t>
  </si>
  <si>
    <t>Q8b is a separate failure</t>
  </si>
  <si>
    <t>Stage 4</t>
  </si>
  <si>
    <t>Rating only what the system does when it is wrong misses what happens when it quietly does nothing. A notification agent scores read only. The real risk is the missing alert, not the wrong one.</t>
  </si>
  <si>
    <t>Low-code reaches autonomous</t>
  </si>
  <si>
    <t>CAF's published comparison shows Copilot Studio supporting autonomous agents, not just retrieval and task. Only the ready-made tier is capped. Teams routinely jump to pro-code for adaptive behaviour they could have had a rung lower, and pay for it in build cost and time.</t>
  </si>
  <si>
    <t>Capability comparison only. Licensing, cost and commercial terms are deliberately excluded - they are customer-specific, move quarterly, and are not this framework's to state. Confirm licensing, preview status and regional availability with Microsoft before any recommendation.</t>
  </si>
  <si>
    <t>Surface</t>
  </si>
  <si>
    <t>What it is for</t>
  </si>
  <si>
    <t>Runs</t>
  </si>
  <si>
    <t>Availability</t>
  </si>
  <si>
    <t>Extensibility</t>
  </si>
  <si>
    <t>Out of the box</t>
  </si>
  <si>
    <t>Best for</t>
  </si>
  <si>
    <t>Assist me in the flow of work</t>
  </si>
  <si>
    <t>Cloud</t>
  </si>
  <si>
    <t>Online</t>
  </si>
  <si>
    <t>Moderate. Extend through agents and connectors</t>
  </si>
  <si>
    <t>Work IQ, chat, and assistance in Word, Excel, PowerPoint, Outlook and Teams</t>
  </si>
  <si>
    <t>Quick Q&amp;A, drafting, summarising, analysis, and in-app personal productivity</t>
  </si>
  <si>
    <t>Delegate outcomes across Microsoft 365</t>
  </si>
  <si>
    <t>Online; works while your device is closed</t>
  </si>
  <si>
    <t>High. Custom skills and plugins</t>
  </si>
  <si>
    <t>Plans and executes steps across email, calendar, Teams, files, Office artefacts, research and automations</t>
  </si>
  <si>
    <t>Long, multi-step cross-app work that should return a finished artefact or a completed action</t>
  </si>
  <si>
    <t>Create a focused, reusable helper</t>
  </si>
  <si>
    <t>Online inside Microsoft 365 Copilot</t>
  </si>
  <si>
    <t>Low to moderate. Knowledge first; advanced actions need Studio or dev tools</t>
  </si>
  <si>
    <t>Fast no-code setup with instructions plus SharePoint, web and connector knowledge; easy internal sharing</t>
  </si>
  <si>
    <t>Onboarding, policy Q&amp;A, coaching, and narrow domain assistants with a stable scope</t>
  </si>
  <si>
    <t>Copilot Studio - standard harness</t>
  </si>
  <si>
    <t>Control the conversation and workflow</t>
  </si>
  <si>
    <t>Online; multi-channel</t>
  </si>
  <si>
    <t>High. Topics, flows, connectors, APIs and MCP</t>
  </si>
  <si>
    <t>Knowledge, prompts, topics, branching, actions, analytics, governance and channel publishing</t>
  </si>
  <si>
    <t>Help desk, FAQ, guided support, and structured workflows where consistency matters</t>
  </si>
  <si>
    <t>Copilot Studio - agentic harness</t>
  </si>
  <si>
    <t>Automate adaptive business processes</t>
  </si>
  <si>
    <t>Cloud sandbox</t>
  </si>
  <si>
    <t>Online; internal or external</t>
  </si>
  <si>
    <t>Very high. Tools, skills, memory, agents and MCP</t>
  </si>
  <si>
    <t>Goal decomposition, recovery, native Office and PDF work, model choice, connected agents and monitoring</t>
  </si>
  <si>
    <t>Reasoning-heavy, document-intensive, multi-tool processes with exceptions and changing paths</t>
  </si>
  <si>
    <t>Let an agent work on my desktop</t>
  </si>
  <si>
    <t>Hybrid desktop and cloud</t>
  </si>
  <si>
    <t>Online required</t>
  </si>
  <si>
    <t>Very high. Local skills, shell, browser and subagents</t>
  </si>
  <si>
    <t>Local files, shell, browser automation, Microsoft 365 actions, Office artefacts, memory and automations</t>
  </si>
  <si>
    <t>Power-user or developer work needing local files, builds and tests, browser tasks, or background automation</t>
  </si>
  <si>
    <t>Microsoft Foundry + Foundry Local</t>
  </si>
  <si>
    <t>Build a custom agent product or platform</t>
  </si>
  <si>
    <t>Cloud or on-device</t>
  </si>
  <si>
    <t>Online, or offline with Foundry Local</t>
  </si>
  <si>
    <t>Maximum. Code, models, MCP, APIs and containers</t>
  </si>
  <si>
    <t>Prompt and hosted agents, model catalogue, toolboxes, identity, VNet, evaluation, tracing and observability</t>
  </si>
  <si>
    <t>Custom apps, production-scale agents, multi-agent systems, special protocols, or private offline use</t>
  </si>
  <si>
    <t>Cowork and Scout do the same job in different places. Cowork is delegation to your tenant. Scout is delegation to your machine. If the work touches local files, a shell or a browser, it is Scout. If it touches your mail, calendar, Teams and documents, it is Cowork.</t>
  </si>
  <si>
    <t>CAF's published comparison: ready-made SaaS agents support retrieval and task only. Copilot Studio supports retrieval, task and autonomous. Foundry and GPUs or containers support all three. Only the ready-made tier is capped - do not climb a rung to reach adaptive behaviour you could have had a rung lower.</t>
  </si>
  <si>
    <t>Fabric has two agents and they are not interchangeable. The data agent answers questions a person asks, over lakehouse, warehouse, semantic model or KQL data, and takes no action. The operations agent evaluates continuously, watches an eventhouse or ontology for a condition, then messages a person in Teams with a recommended action that only runs when they approve it. The distinction is exactly Q1.</t>
  </si>
  <si>
    <t>Some surfaces listed here may be in preview or have limited regional availability. This table describes capability shape, not availability or entitlement. Treat every product name as current-as-checked and verify before relying on it.</t>
  </si>
  <si>
    <t>Cloud Adoption Framework sources</t>
  </si>
  <si>
    <t>Stage</t>
  </si>
  <si>
    <t>Page</t>
  </si>
  <si>
    <t>Link</t>
  </si>
  <si>
    <t>Overall</t>
  </si>
  <si>
    <t>AI agents in the Cloud Adoption Framework</t>
  </si>
  <si>
    <t>https://learn.microsoft.com/en-us/azure/cloud-adoption-framework/ai-agents/</t>
  </si>
  <si>
    <t>Stages 0, 1 and scoring</t>
  </si>
  <si>
    <t>Business plan for AI agents, and when not to use AI agents</t>
  </si>
  <si>
    <t>https://learn.microsoft.com/en-us/azure/cloud-adoption-framework/ai-agents/business-strategy-plan</t>
  </si>
  <si>
    <t>Stage 2 and Stage 6</t>
  </si>
  <si>
    <t>Build and secure the process, define the agent charter, agent observability</t>
  </si>
  <si>
    <t>https://learn.microsoft.com/en-us/azure/cloud-adoption-framework/ai-agents/build-secure-process</t>
  </si>
  <si>
    <t>Stage 3 - technology</t>
  </si>
  <si>
    <t>Technology plan</t>
  </si>
  <si>
    <t>https://learn.microsoft.com/en-us/azure/cloud-adoption-framework/ai-agents/technology-solutions-plan-strategy</t>
  </si>
  <si>
    <t>Stage 3 - data</t>
  </si>
  <si>
    <t>Data architecture plan, retrieval strategies and data placement</t>
  </si>
  <si>
    <t>https://learn.microsoft.com/en-us/azure/cloud-adoption-framework/ai-agents/data-architecture-plan</t>
  </si>
  <si>
    <t>Govern and secure AI agents across the organisation</t>
  </si>
  <si>
    <t>https://learn.microsoft.com/en-us/azure/cloud-adoption-framework/ai-agents/governance-security-across-organization</t>
  </si>
  <si>
    <t>Responsible AI policies</t>
  </si>
  <si>
    <t>https://learn.microsoft.com/en-us/azure/cloud-adoption-framework/ai/responsible-ai-policies</t>
  </si>
  <si>
    <t>Single agent or multiple agents</t>
  </si>
  <si>
    <t>https://learn.microsoft.com/en-us/azure/cloud-adoption-framework/ai-agents/single-agent-multiple-agents</t>
  </si>
  <si>
    <t>Stage 5 - Fabric</t>
  </si>
  <si>
    <t>Create and configure operations agents</t>
  </si>
  <si>
    <t>https://learn.microsoft.com/fabric/real-time-intelligence/operations-agent</t>
  </si>
  <si>
    <t>Fabric data agent</t>
  </si>
  <si>
    <t>https://learn.microsoft.com/fabric/data-science/concept-data-agent</t>
  </si>
  <si>
    <t>Stage 7</t>
  </si>
  <si>
    <t>Integrate, manage and operate AI agents</t>
  </si>
  <si>
    <t>https://learn.microsoft.com/en-us/azure/cloud-adoption-framework/ai-agents/integrate-manage-operate</t>
  </si>
  <si>
    <t>Across every stage</t>
  </si>
  <si>
    <t>Organisational readiness</t>
  </si>
  <si>
    <t>https://learn.microsoft.com/en-us/azure/cloud-adoption-framework/ai-agents/organization-people-readiness-plan</t>
  </si>
  <si>
    <t>What is Microsoft's and what is ours. The eight questions, the five reach rungs, the assurance matrix, the eight verbs and the Q8b omission test are our packaging. That governance obligation changes with scope, that every agent needs a distinct identity, that adversarial testing is mandatory, that agents should sit in the tools people already use, and that low-code supports autonomous agents, are all Microsoft's published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</si>
</sst>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mmm yyyy"/>
    <numFmt numFmtId="165" formatCode="0.0"/>
    <numFmt numFmtId="166" formatCode="#,##0.0"/>
  </numFmts>
  <fonts count="18" x14ac:knownFonts="1">
    <font>
      <color theme="1"/>
      <family val="2"/>
      <scheme val="minor"/>
      <sz val="11"/>
      <name val="Calibri"/>
    </font>
    <font>
      <b/>
      <color rgb="FF243A5E"/>
      <sz val="10"/>
      <name val="Segoe UI"/>
    </font>
    <font>
      <b/>
      <color rgb="FFFFFFFF"/>
      <sz val="9"/>
      <name val="Segoe UI"/>
    </font>
    <font>
      <sz val="9"/>
      <name val="Segoe UI"/>
    </font>
    <font>
      <b/>
      <sz val="9"/>
      <name val="Segoe UI"/>
    </font>
    <font>
      <b/>
      <color rgb="FF243A5E"/>
      <sz val="20"/>
      <name val="Segoe UI"/>
    </font>
    <font>
      <color rgb="FF737373"/>
      <sz val="10"/>
      <name val="Segoe UI"/>
    </font>
    <font>
      <b/>
      <color rgb="FFFFFFFF"/>
      <sz val="11"/>
      <name val="Segoe UI"/>
    </font>
    <font>
      <b/>
      <color rgb="FF243A5E"/>
      <sz val="9"/>
      <name val="Segoe UI"/>
    </font>
    <font>
      <color rgb="FF1F1F1F"/>
      <sz val="9"/>
      <name val="Segoe UI"/>
    </font>
    <font>
      <i/>
      <color rgb="FF243A5E"/>
      <sz val="9"/>
      <name val="Segoe UI"/>
    </font>
    <font>
      <b/>
      <color rgb="FF243A5E"/>
      <sz val="14"/>
      <name val="Segoe UI"/>
    </font>
    <font>
      <b/>
      <color rgb="FFFFFFFF"/>
      <sz val="10"/>
      <name val="Segoe UI"/>
    </font>
    <font>
      <i/>
      <color rgb="FF008575"/>
      <sz val="9"/>
      <name val="Segoe UI"/>
    </font>
    <font>
      <i/>
      <color rgb="FF5C2E91"/>
      <sz val="9"/>
      <name val="Segoe UI"/>
    </font>
    <font>
      <i/>
      <color rgb="FF737373"/>
      <sz val="9"/>
      <name val="Segoe UI"/>
    </font>
    <font>
      <b/>
      <color rgb="FF1F1F1F"/>
      <sz val="9"/>
      <name val="Segoe UI"/>
    </font>
    <font>
      <u/>
      <color rgb="FF0078D4"/>
      <sz val="9"/>
      <name val="Segoe UI"/>
    </font>
  </fonts>
  <fills count="15">
    <fill>
      <patternFill patternType="none"/>
    </fill>
    <fill>
      <patternFill patternType="gray125"/>
    </fill>
    <fill>
      <patternFill patternType="solid">
        <fgColor rgb="FF243A5E"/>
      </patternFill>
    </fill>
    <fill>
      <patternFill patternType="solid">
        <fgColor rgb="FFF5F8FC"/>
      </patternFill>
    </fill>
    <fill>
      <patternFill patternType="solid">
        <fgColor rgb="FFFFFFFF"/>
      </patternFill>
    </fill>
    <fill>
      <patternFill patternType="solid">
        <fgColor rgb="FF5C2E91"/>
      </patternFill>
    </fill>
    <fill>
      <patternFill patternType="solid">
        <fgColor rgb="FF0078D4"/>
      </patternFill>
    </fill>
    <fill>
      <patternFill patternType="solid">
        <fgColor rgb="FF3F3F3F"/>
      </patternFill>
    </fill>
    <fill>
      <patternFill patternType="solid">
        <fgColor rgb="FFFFFDF0"/>
      </patternFill>
    </fill>
    <fill>
      <patternFill patternType="solid">
        <fgColor rgb="FFEFF4FA"/>
      </patternFill>
    </fill>
    <fill>
      <patternFill patternType="solid">
        <fgColor rgb="FF008575"/>
      </patternFill>
    </fill>
    <fill>
      <patternFill patternType="solid">
        <fgColor rgb="FF737373"/>
      </patternFill>
    </fill>
    <fill>
      <patternFill patternType="solid">
        <fgColor rgb="FF005A9E"/>
      </patternFill>
    </fill>
    <fill>
      <patternFill patternType="solid">
        <fgColor rgb="FF8A5300"/>
      </patternFill>
    </fill>
    <fill>
      <patternFill patternType="solid">
        <fgColor rgb="FFA4262C"/>
      </patternFill>
    </fill>
  </fills>
  <borders count="2">
    <border>
      <left/>
      <right/>
      <top/>
      <bottom/>
      <diagonal/>
    </border>
    <border>
      <left style="thin">
        <color rgb="FFDCE6F2"/>
      </left>
      <right style="thin">
        <color rgb="FFDCE6F2"/>
      </right>
      <top style="thin">
        <color rgb="FFDCE6F2"/>
      </top>
      <bottom style="thin">
        <color rgb="FFDCE6F2"/>
      </bottom>
      <diagonal/>
    </border>
  </borders>
  <cellStyleXfs count="1">
    <xf numFmtId="0" fontId="0" fillId="0" borderId="0"/>
  </cellStyleXfs>
  <cellXfs count="44">
    <xf numFmtId="0" fontId="0" fillId="0" borderId="0" xfId="0"/>
    <xf numFmtId="0" fontId="1" fillId="0" borderId="0" xfId="0" applyFont="1"/>
    <xf numFmtId="0" fontId="2" fillId="2" borderId="0" xfId="0" applyFont="1" applyFill="1" applyAlignment="1">
      <alignment vertical="bottom" wrapText="1"/>
    </xf>
    <xf numFmtId="0" fontId="3" fillId="0" borderId="1" xfId="0" applyFont="1" applyBorder="1"/>
    <xf numFmtId="0" fontId="4" fillId="3" borderId="1" xfId="0" applyFont="1" applyFill="1" applyBorder="1" applyAlignment="1">
      <alignment vertical="top" wrapText="1"/>
    </xf>
    <xf numFmtId="0" fontId="3" fillId="4" borderId="1" xfId="0" applyFont="1" applyFill="1" applyBorder="1" applyAlignment="1">
      <alignment vertical="top" wrapText="1"/>
    </xf>
    <xf numFmtId="0" fontId="5" fillId="0" borderId="0" xfId="0" applyFont="1"/>
    <xf numFmtId="0" fontId="6" fillId="0" borderId="0" xfId="0" applyFont="1" applyAlignment="1">
      <alignment vertical="top" wrapText="1"/>
    </xf>
    <xf numFmtId="0" fontId="7" fillId="2" borderId="0" xfId="0" applyFont="1" applyFill="1" applyAlignment="1">
      <alignment vertical="center" indent="1"/>
    </xf>
    <xf numFmtId="0" fontId="8" fillId="0" borderId="1" xfId="0" applyFont="1" applyBorder="1" applyAlignment="1">
      <alignment vertical="top" wrapText="1"/>
    </xf>
    <xf numFmtId="0" fontId="3" fillId="0" borderId="1" xfId="0" applyFont="1" applyBorder="1" applyAlignment="1">
      <alignment vertical="top" wrapText="1"/>
    </xf>
    <xf numFmtId="0" fontId="2" fillId="2" borderId="0" xfId="0" applyFont="1" applyFill="1" applyAlignment="1">
      <alignment horizontal="left" vertical="center" indent="1"/>
    </xf>
    <xf numFmtId="0" fontId="2" fillId="5" borderId="0" xfId="0" applyFont="1" applyFill="1" applyAlignment="1">
      <alignment horizontal="left" vertical="center" indent="1"/>
    </xf>
    <xf numFmtId="0" fontId="2" fillId="6" borderId="0" xfId="0" applyFont="1" applyFill="1" applyAlignment="1">
      <alignment horizontal="left" vertical="center" indent="1"/>
    </xf>
    <xf numFmtId="0" fontId="2" fillId="7" borderId="0" xfId="0" applyFont="1" applyFill="1" applyAlignment="1">
      <alignment horizontal="left" vertical="center" indent="1"/>
    </xf>
    <xf numFmtId="0" fontId="8" fillId="3" borderId="1" xfId="0" applyFont="1" applyFill="1" applyBorder="1" applyAlignment="1">
      <alignment vertical="bottom" wrapText="1"/>
    </xf>
    <xf numFmtId="0" fontId="9" fillId="8" borderId="1" xfId="0" applyFont="1" applyFill="1" applyBorder="1" applyAlignment="1">
      <alignment vertical="top" wrapText="1"/>
    </xf>
    <xf numFmtId="164" fontId="9" fillId="8" borderId="1" xfId="0" applyNumberFormat="1" applyFont="1" applyFill="1" applyBorder="1" applyAlignment="1">
      <alignment vertical="top" wrapText="1"/>
    </xf>
    <xf numFmtId="165" fontId="10" fillId="9" borderId="1" xfId="0" applyNumberFormat="1" applyFont="1" applyFill="1" applyBorder="1" applyAlignment="1">
      <alignment vertical="top" wrapText="1"/>
    </xf>
    <xf numFmtId="1" fontId="9" fillId="8" borderId="1" xfId="0" applyNumberFormat="1" applyFont="1" applyFill="1" applyBorder="1" applyAlignment="1">
      <alignment vertical="top" wrapText="1"/>
    </xf>
    <xf numFmtId="0" fontId="10" fillId="9" borderId="1" xfId="0" applyFont="1" applyFill="1" applyBorder="1" applyAlignment="1">
      <alignment vertical="top" wrapText="1"/>
    </xf>
    <xf numFmtId="9" fontId="10" fillId="9" borderId="1" xfId="0" applyNumberFormat="1" applyFont="1" applyFill="1" applyBorder="1" applyAlignment="1">
      <alignment vertical="top" wrapText="1"/>
    </xf>
    <xf numFmtId="0" fontId="2" fillId="10" borderId="0" xfId="0" applyFont="1" applyFill="1" applyAlignment="1">
      <alignment horizontal="left" vertical="center" indent="1"/>
    </xf>
    <xf numFmtId="3" fontId="9" fillId="8" borderId="1" xfId="0" applyNumberFormat="1" applyFont="1" applyFill="1" applyBorder="1" applyAlignment="1">
      <alignment vertical="top" wrapText="1"/>
    </xf>
    <xf numFmtId="166" fontId="9" fillId="8" borderId="1" xfId="0" applyNumberFormat="1" applyFont="1" applyFill="1" applyBorder="1" applyAlignment="1">
      <alignment vertical="top" wrapText="1"/>
    </xf>
    <xf numFmtId="9" fontId="9" fillId="8" borderId="1" xfId="0" applyNumberFormat="1" applyFont="1" applyFill="1" applyBorder="1" applyAlignment="1">
      <alignment vertical="top" wrapText="1"/>
    </xf>
    <xf numFmtId="4" fontId="9" fillId="8" borderId="1" xfId="0" applyNumberFormat="1" applyFont="1" applyFill="1" applyBorder="1" applyAlignment="1">
      <alignment vertical="top" wrapText="1"/>
    </xf>
    <xf numFmtId="3" fontId="10" fillId="9" borderId="1" xfId="0" applyNumberFormat="1" applyFont="1" applyFill="1" applyBorder="1" applyAlignment="1">
      <alignment vertical="top" wrapText="1"/>
    </xf>
    <xf numFmtId="0" fontId="2" fillId="11" borderId="0" xfId="0" applyFont="1" applyFill="1" applyAlignment="1">
      <alignment horizontal="left" vertical="center" indent="1"/>
    </xf>
    <xf numFmtId="0" fontId="2" fillId="12" borderId="0" xfId="0" applyFont="1" applyFill="1" applyAlignment="1">
      <alignment horizontal="left" vertical="center" indent="1"/>
    </xf>
    <xf numFmtId="0" fontId="2" fillId="13" borderId="0" xfId="0" applyFont="1" applyFill="1" applyAlignment="1">
      <alignment horizontal="left" vertical="center" indent="1"/>
    </xf>
    <xf numFmtId="1" fontId="10" fillId="9" borderId="1" xfId="0" applyNumberFormat="1" applyFont="1" applyFill="1" applyBorder="1" applyAlignment="1">
      <alignment vertical="top" wrapText="1"/>
    </xf>
    <xf numFmtId="0" fontId="2" fillId="14" borderId="0" xfId="0" applyFont="1" applyFill="1" applyAlignment="1">
      <alignment horizontal="left" vertical="center" indent="1"/>
    </xf>
    <xf numFmtId="0" fontId="11" fillId="0" borderId="0" xfId="0" applyFont="1"/>
    <xf numFmtId="0" fontId="2" fillId="2" borderId="1" xfId="0" applyFont="1" applyFill="1" applyBorder="1"/>
    <xf numFmtId="0" fontId="9" fillId="0" borderId="1" xfId="0" applyFont="1" applyBorder="1" applyAlignment="1">
      <alignment vertical="top" wrapText="1"/>
    </xf>
    <xf numFmtId="0" fontId="12" fillId="2" borderId="0" xfId="0" applyFont="1" applyFill="1" applyAlignment="1">
      <alignment vertical="center" wrapText="1" indent="1"/>
    </xf>
    <xf numFmtId="0" fontId="10" fillId="0" borderId="0" xfId="0" applyFont="1" applyAlignment="1">
      <alignment vertical="center" wrapText="1" indent="1"/>
    </xf>
    <xf numFmtId="0" fontId="13" fillId="0" borderId="0" xfId="0" applyFont="1" applyAlignment="1">
      <alignment vertical="center" wrapText="1" indent="1"/>
    </xf>
    <xf numFmtId="0" fontId="14" fillId="0" borderId="0" xfId="0" applyFont="1" applyAlignment="1">
      <alignment vertical="center" wrapText="1" indent="1"/>
    </xf>
    <xf numFmtId="0" fontId="15" fillId="0" borderId="0" xfId="0" applyFont="1" applyAlignment="1">
      <alignment vertical="center" wrapText="1" indent="1"/>
    </xf>
    <xf numFmtId="0" fontId="16" fillId="0" borderId="1" xfId="0" applyFont="1" applyBorder="1" applyAlignment="1">
      <alignment vertical="top" wrapText="1"/>
    </xf>
    <xf numFmtId="0" fontId="17" fillId="0" borderId="1" xfId="0" applyFont="1" applyBorder="1" applyAlignment="1">
      <alignment vertical="top" wrapText="1"/>
    </xf>
    <xf numFmtId="0" fontId="15" fillId="0" borderId="0" xfId="0" applyFont="1" applyAlignment="1">
      <alignment vertical="top" wrapText="1"/>
    </xf>
  </cellXfs>
  <cellStyles count="1">
    <cellStyle name="Normal" xfId="0" builtinId="0"/>
  </cellStyles>
  <dxfs count="15">
    <dxf>
      <font>
        <b/>
        <color rgb="FF7A1E1E"/>
      </font>
      <fill>
        <patternFill patternType="solid">
          <bgColor rgb="FFFBE4E4"/>
        </patternFill>
      </fill>
    </dxf>
    <dxf>
      <font>
        <b/>
        <color rgb="FF1E5B2E"/>
      </font>
      <fill>
        <patternFill patternType="solid">
          <bgColor rgb="FFE6F4EA"/>
        </patternFill>
      </fill>
    </dxf>
    <dxf>
      <font>
        <b/>
        <color rgb="FF1E5B2E"/>
      </font>
      <fill>
        <patternFill patternType="solid">
          <bgColor rgb="FFE6F4EA"/>
        </patternFill>
      </fill>
    </dxf>
    <dxf>
      <font>
        <b/>
        <color rgb="FF7A1E1E"/>
      </font>
      <fill>
        <patternFill patternType="solid">
          <bgColor rgb="FFFBE4E4"/>
        </patternFill>
      </fill>
    </dxf>
    <dxf>
      <font>
        <b/>
        <color rgb="FF7A4A00"/>
      </font>
      <fill>
        <patternFill patternType="solid">
          <bgColor rgb="FFFFF3E0"/>
        </patternFill>
      </fill>
    </dxf>
    <dxf>
      <font>
        <b/>
        <color rgb="FF1E5B2E"/>
      </font>
      <fill>
        <patternFill patternType="solid">
          <bgColor rgb="FFE6F4EA"/>
        </patternFill>
      </fill>
    </dxf>
    <dxf>
      <font>
        <b/>
        <color rgb="FF7A1E1E"/>
      </font>
      <fill>
        <patternFill patternType="solid">
          <bgColor rgb="FFFBE4E4"/>
        </patternFill>
      </fill>
    </dxf>
    <dxf>
      <font>
        <b/>
        <color rgb="FF1E5B2E"/>
      </font>
      <fill>
        <patternFill patternType="solid">
          <bgColor rgb="FFE6F4EA"/>
        </patternFill>
      </fill>
    </dxf>
    <dxf>
      <font>
        <b/>
        <color rgb="FF7A4A00"/>
      </font>
      <fill>
        <patternFill patternType="solid">
          <bgColor rgb="FFFFF3E0"/>
        </patternFill>
      </fill>
    </dxf>
    <dxf>
      <font>
        <b/>
        <color rgb="FF7A4A00"/>
      </font>
      <fill>
        <patternFill patternType="solid">
          <bgColor rgb="FFFFF3E0"/>
        </patternFill>
      </fill>
    </dxf>
    <dxf>
      <font>
        <b/>
        <color rgb="FF1E5B2E"/>
      </font>
      <fill>
        <patternFill patternType="solid">
          <bgColor rgb="FFE6F4EA"/>
        </patternFill>
      </fill>
    </dxf>
    <dxf>
      <font>
        <b/>
        <color rgb="FF1E5B2E"/>
      </font>
      <fill>
        <patternFill patternType="solid">
          <bgColor rgb="FFE6F4EA"/>
        </patternFill>
      </fill>
    </dxf>
    <dxf>
      <font>
        <b/>
        <color rgb="FF7A4A00"/>
      </font>
      <fill>
        <patternFill patternType="solid">
          <bgColor rgb="FFFFF3E0"/>
        </patternFill>
      </fill>
    </dxf>
    <dxf>
      <font>
        <b/>
        <color rgb="FF7A1E1E"/>
      </font>
      <fill>
        <patternFill patternType="solid">
          <bgColor rgb="FFFBE4E4"/>
        </patternFill>
      </fill>
    </dxf>
    <dxf>
      <font>
        <b/>
        <color rgb="FF1E5B2E"/>
      </font>
      <fill>
        <patternFill patternType="solid">
          <bgColor rgb="FFE6F4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hyperlink" Target="https://learn.microsoft.com/en-us/azure/cloud-adoption-framework/ai-agents/" TargetMode="External"/><Relationship Id="rId2" Type="http://schemas.openxmlformats.org/officeDocument/2006/relationships/hyperlink" Target="https://learn.microsoft.com/en-us/azure/cloud-adoption-framework/ai-agents/business-strategy-plan" TargetMode="External"/><Relationship Id="rId3" Type="http://schemas.openxmlformats.org/officeDocument/2006/relationships/hyperlink" Target="https://learn.microsoft.com/en-us/azure/cloud-adoption-framework/ai-agents/build-secure-process" TargetMode="External"/><Relationship Id="rId4" Type="http://schemas.openxmlformats.org/officeDocument/2006/relationships/hyperlink" Target="https://learn.microsoft.com/en-us/azure/cloud-adoption-framework/ai-agents/technology-solutions-plan-strategy" TargetMode="External"/><Relationship Id="rId5" Type="http://schemas.openxmlformats.org/officeDocument/2006/relationships/hyperlink" Target="https://learn.microsoft.com/en-us/azure/cloud-adoption-framework/ai-agents/data-architecture-plan" TargetMode="External"/><Relationship Id="rId6" Type="http://schemas.openxmlformats.org/officeDocument/2006/relationships/hyperlink" Target="https://learn.microsoft.com/en-us/azure/cloud-adoption-framework/ai-agents/governance-security-across-organization" TargetMode="External"/><Relationship Id="rId7" Type="http://schemas.openxmlformats.org/officeDocument/2006/relationships/hyperlink" Target="https://learn.microsoft.com/en-us/azure/cloud-adoption-framework/ai/responsible-ai-policies" TargetMode="External"/><Relationship Id="rId8" Type="http://schemas.openxmlformats.org/officeDocument/2006/relationships/hyperlink" Target="https://learn.microsoft.com/en-us/azure/cloud-adoption-framework/ai-agents/single-agent-multiple-agents" TargetMode="External"/><Relationship Id="rId9" Type="http://schemas.openxmlformats.org/officeDocument/2006/relationships/hyperlink" Target="https://learn.microsoft.com/fabric/real-time-intelligence/operations-agent" TargetMode="External"/><Relationship Id="rId10" Type="http://schemas.openxmlformats.org/officeDocument/2006/relationships/hyperlink" Target="https://learn.microsoft.com/fabric/data-science/concept-data-agent" TargetMode="External"/><Relationship Id="rId11" Type="http://schemas.openxmlformats.org/officeDocument/2006/relationships/hyperlink" Target="https://learn.microsoft.com/en-us/azure/cloud-adoption-framework/ai-agents/integrate-manage-operate" TargetMode="External"/><Relationship Id="rId12" Type="http://schemas.openxmlformats.org/officeDocument/2006/relationships/hyperlink" Target="https://learn.microsoft.com/en-us/azure/cloud-adoption-framework/ai-agents/organization-people-readiness-pl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37373"/>
  </sheetPr>
  <dimension ref="A1:V85"/>
  <sheetFormatPr defaultRowHeight="15" outlineLevelRow="0" outlineLevelCol="0" x14ac:dyDescent="55"/>
  <cols>
    <col min="1" max="22" width="24" customWidth="1"/>
  </cols>
  <sheetData>
    <row r="1" spans="1:1" x14ac:dyDescent="0.25">
      <c r="A1" s="1" t="s">
        <v>0</v>
      </c>
    </row>
    <row r="2" ht="30" customHeight="1" spans="1:22"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x14ac:dyDescent="0.25">
      <c r="A3" s="3" t="s">
        <v>23</v>
      </c>
      <c r="B3" s="3" t="s">
        <v>24</v>
      </c>
      <c r="C3" s="3" t="s">
        <v>25</v>
      </c>
      <c r="D3" s="3" t="s">
        <v>26</v>
      </c>
      <c r="E3" s="3" t="s">
        <v>27</v>
      </c>
      <c r="F3" s="3" t="s">
        <v>28</v>
      </c>
      <c r="G3" s="3" t="s">
        <v>29</v>
      </c>
      <c r="H3" s="3" t="s">
        <v>30</v>
      </c>
      <c r="I3" s="3" t="s">
        <v>31</v>
      </c>
      <c r="J3" s="3" t="s">
        <v>32</v>
      </c>
      <c r="K3" s="3" t="s">
        <v>33</v>
      </c>
      <c r="L3" s="3" t="s">
        <v>31</v>
      </c>
      <c r="M3" s="3" t="s">
        <v>34</v>
      </c>
      <c r="N3" s="3" t="s">
        <v>35</v>
      </c>
      <c r="O3" s="3" t="s">
        <v>36</v>
      </c>
      <c r="P3" s="3" t="s">
        <v>37</v>
      </c>
      <c r="Q3" s="3" t="s">
        <v>38</v>
      </c>
      <c r="R3" s="3" t="s">
        <v>39</v>
      </c>
      <c r="S3" s="3" t="s">
        <v>40</v>
      </c>
      <c r="T3" s="3" t="s">
        <v>41</v>
      </c>
      <c r="U3" s="3" t="s">
        <v>42</v>
      </c>
      <c r="V3" s="3" t="s">
        <v>43</v>
      </c>
    </row>
    <row r="4" spans="1:22" x14ac:dyDescent="0.25">
      <c r="A4" s="3" t="s">
        <v>44</v>
      </c>
      <c r="B4" s="3" t="s">
        <v>45</v>
      </c>
      <c r="C4" s="3" t="s">
        <v>46</v>
      </c>
      <c r="D4" s="3" t="s">
        <v>47</v>
      </c>
      <c r="E4" s="3" t="s">
        <v>48</v>
      </c>
      <c r="F4" s="3" t="s">
        <v>49</v>
      </c>
      <c r="G4" s="3" t="s">
        <v>50</v>
      </c>
      <c r="H4" s="3" t="s">
        <v>51</v>
      </c>
      <c r="I4" s="3" t="s">
        <v>52</v>
      </c>
      <c r="J4" s="3" t="s">
        <v>53</v>
      </c>
      <c r="K4" s="3" t="s">
        <v>54</v>
      </c>
      <c r="L4" s="3" t="s">
        <v>55</v>
      </c>
      <c r="M4" s="3" t="s">
        <v>56</v>
      </c>
      <c r="N4" s="3" t="s">
        <v>57</v>
      </c>
      <c r="O4" s="3" t="s">
        <v>58</v>
      </c>
      <c r="P4" s="3" t="s">
        <v>59</v>
      </c>
      <c r="Q4" s="3" t="s">
        <v>60</v>
      </c>
      <c r="R4" s="3" t="s">
        <v>61</v>
      </c>
      <c r="S4" s="3" t="s">
        <v>62</v>
      </c>
      <c r="T4" s="3" t="s">
        <v>63</v>
      </c>
      <c r="U4" s="3" t="s">
        <v>64</v>
      </c>
      <c r="V4" s="3" t="s">
        <v>65</v>
      </c>
    </row>
    <row r="5" spans="1:22" x14ac:dyDescent="0.25">
      <c r="A5" s="3" t="s">
        <v>66</v>
      </c>
      <c r="B5" s="3" t="s">
        <v>67</v>
      </c>
      <c r="C5" s="3" t="s">
        <v>68</v>
      </c>
      <c r="D5" s="3" t="s">
        <v>69</v>
      </c>
      <c r="E5" s="3" t="s">
        <v>70</v>
      </c>
      <c r="F5" s="3" t="s">
        <v>71</v>
      </c>
      <c r="H5" s="3" t="s">
        <v>72</v>
      </c>
      <c r="I5" s="3" t="s">
        <v>73</v>
      </c>
      <c r="J5" s="3" t="s">
        <v>56</v>
      </c>
      <c r="K5" s="3" t="s">
        <v>74</v>
      </c>
      <c r="L5" s="3" t="s">
        <v>75</v>
      </c>
      <c r="M5" s="3" t="s">
        <v>76</v>
      </c>
      <c r="N5" s="3" t="s">
        <v>77</v>
      </c>
      <c r="O5" s="3" t="s">
        <v>78</v>
      </c>
      <c r="P5" s="3" t="s">
        <v>79</v>
      </c>
      <c r="Q5" s="3" t="s">
        <v>17</v>
      </c>
      <c r="R5" s="3" t="s">
        <v>80</v>
      </c>
      <c r="S5" s="3" t="s">
        <v>81</v>
      </c>
      <c r="T5" s="3" t="s">
        <v>82</v>
      </c>
      <c r="U5" s="3" t="s">
        <v>83</v>
      </c>
      <c r="V5" s="3" t="s">
        <v>84</v>
      </c>
    </row>
    <row r="6" spans="1:22" x14ac:dyDescent="0.25">
      <c r="A6" s="3" t="s">
        <v>85</v>
      </c>
      <c r="B6" s="3" t="s">
        <v>86</v>
      </c>
      <c r="C6" s="3" t="s">
        <v>87</v>
      </c>
      <c r="D6" s="3" t="s">
        <v>88</v>
      </c>
      <c r="E6" s="3" t="s">
        <v>89</v>
      </c>
      <c r="F6" s="3" t="s">
        <v>90</v>
      </c>
      <c r="H6" s="3" t="s">
        <v>91</v>
      </c>
      <c r="I6" s="3" t="s">
        <v>92</v>
      </c>
      <c r="N6" s="3" t="s">
        <v>93</v>
      </c>
      <c r="O6" s="3" t="s">
        <v>94</v>
      </c>
      <c r="P6" s="3" t="s">
        <v>95</v>
      </c>
      <c r="R6" s="3" t="s">
        <v>89</v>
      </c>
      <c r="S6" s="3" t="s">
        <v>96</v>
      </c>
      <c r="T6" s="3" t="s">
        <v>97</v>
      </c>
      <c r="V6" s="3" t="s">
        <v>98</v>
      </c>
    </row>
    <row r="7" spans="1:19" x14ac:dyDescent="0.25">
      <c r="A7" s="3" t="s">
        <v>99</v>
      </c>
      <c r="B7" s="3" t="s">
        <v>100</v>
      </c>
      <c r="C7" s="3" t="s">
        <v>101</v>
      </c>
      <c r="D7" s="3" t="s">
        <v>102</v>
      </c>
      <c r="F7" s="3" t="s">
        <v>103</v>
      </c>
      <c r="I7" s="3" t="s">
        <v>104</v>
      </c>
      <c r="O7" s="3" t="s">
        <v>105</v>
      </c>
      <c r="P7" s="3" t="s">
        <v>106</v>
      </c>
      <c r="S7" s="3" t="s">
        <v>107</v>
      </c>
    </row>
    <row r="8" spans="1:16" x14ac:dyDescent="0.25">
      <c r="A8" s="3" t="s">
        <v>108</v>
      </c>
      <c r="D8" s="3" t="s">
        <v>109</v>
      </c>
      <c r="O8" s="3" t="s">
        <v>110</v>
      </c>
      <c r="P8" s="3" t="s">
        <v>111</v>
      </c>
    </row>
    <row r="9" spans="1:15" x14ac:dyDescent="0.25">
      <c r="A9" s="3" t="s">
        <v>112</v>
      </c>
      <c r="O9" s="3" t="s">
        <v>113</v>
      </c>
    </row>
    <row r="10" spans="1:15" x14ac:dyDescent="0.25">
      <c r="A10" s="3" t="s">
        <v>114</v>
      </c>
      <c r="O10" s="3" t="s">
        <v>115</v>
      </c>
    </row>
    <row r="11" spans="1:1" x14ac:dyDescent="0.25">
      <c r="A11" s="3" t="s">
        <v>116</v>
      </c>
    </row>
    <row r="12" spans="1:1" x14ac:dyDescent="0.25">
      <c r="A12" s="3" t="s">
        <v>117</v>
      </c>
    </row>
    <row r="30" spans="1:1" x14ac:dyDescent="0.25">
      <c r="A30" s="1" t="s">
        <v>118</v>
      </c>
    </row>
    <row r="31" spans="1:4" x14ac:dyDescent="0.25">
      <c r="A31" s="4" t="s">
        <v>119</v>
      </c>
      <c r="B31" s="4" t="s">
        <v>120</v>
      </c>
      <c r="C31" s="4" t="s">
        <v>121</v>
      </c>
      <c r="D31" s="4" t="s">
        <v>122</v>
      </c>
    </row>
    <row r="32" spans="1:4" x14ac:dyDescent="0.25">
      <c r="A32" s="5" t="s">
        <v>33</v>
      </c>
      <c r="B32" s="5" t="s">
        <v>35</v>
      </c>
      <c r="C32" s="5" t="s">
        <v>57</v>
      </c>
      <c r="D32" s="5" t="s">
        <v>77</v>
      </c>
    </row>
    <row r="33" spans="1:4" x14ac:dyDescent="0.25">
      <c r="A33" s="5" t="s">
        <v>54</v>
      </c>
      <c r="B33" s="5" t="s">
        <v>57</v>
      </c>
      <c r="C33" s="5" t="s">
        <v>77</v>
      </c>
      <c r="D33" s="5" t="s">
        <v>93</v>
      </c>
    </row>
    <row r="34" spans="1:4" x14ac:dyDescent="0.25">
      <c r="A34" s="5" t="s">
        <v>74</v>
      </c>
      <c r="B34" s="5" t="s">
        <v>77</v>
      </c>
      <c r="C34" s="5" t="s">
        <v>93</v>
      </c>
      <c r="D34" s="5" t="s">
        <v>93</v>
      </c>
    </row>
    <row r="35" spans="1:1" x14ac:dyDescent="0.25">
      <c r="A35" s="1" t="s">
        <v>123</v>
      </c>
    </row>
    <row r="36" spans="1:3" x14ac:dyDescent="0.25">
      <c r="A36" s="4" t="s">
        <v>124</v>
      </c>
      <c r="B36" s="4" t="s">
        <v>125</v>
      </c>
      <c r="C36" s="4" t="s">
        <v>126</v>
      </c>
    </row>
    <row r="37" spans="1:3" x14ac:dyDescent="0.25">
      <c r="A37" s="5" t="s">
        <v>35</v>
      </c>
      <c r="B37" s="5">
        <v>1</v>
      </c>
      <c r="C37" s="5" t="s">
        <v>127</v>
      </c>
    </row>
    <row r="38" spans="1:3" x14ac:dyDescent="0.25">
      <c r="A38" s="5" t="s">
        <v>57</v>
      </c>
      <c r="B38" s="5">
        <v>2</v>
      </c>
      <c r="C38" s="5" t="s">
        <v>128</v>
      </c>
    </row>
    <row r="39" spans="1:3" x14ac:dyDescent="0.25">
      <c r="A39" s="5" t="s">
        <v>77</v>
      </c>
      <c r="B39" s="5">
        <v>3</v>
      </c>
      <c r="C39" s="5" t="s">
        <v>129</v>
      </c>
    </row>
    <row r="40" spans="1:3" x14ac:dyDescent="0.25">
      <c r="A40" s="5" t="s">
        <v>93</v>
      </c>
      <c r="B40" s="5">
        <v>4</v>
      </c>
      <c r="C40" s="5" t="s">
        <v>130</v>
      </c>
    </row>
    <row r="41" spans="1:1" x14ac:dyDescent="0.25">
      <c r="A41" s="1" t="s">
        <v>131</v>
      </c>
    </row>
    <row r="42" spans="1:3" x14ac:dyDescent="0.25">
      <c r="A42" s="4" t="s">
        <v>15</v>
      </c>
      <c r="B42" s="4" t="s">
        <v>132</v>
      </c>
      <c r="C42" s="4" t="s">
        <v>133</v>
      </c>
    </row>
    <row r="43" spans="1:3" x14ac:dyDescent="0.25">
      <c r="A43" s="5" t="s">
        <v>36</v>
      </c>
      <c r="B43" s="5" t="s">
        <v>134</v>
      </c>
      <c r="C43" s="5" t="s">
        <v>135</v>
      </c>
    </row>
    <row r="44" spans="1:3" x14ac:dyDescent="0.25">
      <c r="A44" s="5" t="s">
        <v>58</v>
      </c>
      <c r="B44" s="5" t="s">
        <v>136</v>
      </c>
      <c r="C44" s="5" t="s">
        <v>137</v>
      </c>
    </row>
    <row r="45" spans="1:3" x14ac:dyDescent="0.25">
      <c r="A45" s="5" t="s">
        <v>78</v>
      </c>
      <c r="B45" s="5" t="s">
        <v>138</v>
      </c>
      <c r="C45" s="5" t="s">
        <v>139</v>
      </c>
    </row>
    <row r="46" spans="1:3" x14ac:dyDescent="0.25">
      <c r="A46" s="5" t="s">
        <v>94</v>
      </c>
      <c r="B46" s="5" t="s">
        <v>140</v>
      </c>
      <c r="C46" s="5" t="s">
        <v>141</v>
      </c>
    </row>
    <row r="47" spans="1:3" x14ac:dyDescent="0.25">
      <c r="A47" s="5" t="s">
        <v>105</v>
      </c>
      <c r="B47" s="5" t="s">
        <v>142</v>
      </c>
      <c r="C47" s="5" t="s">
        <v>143</v>
      </c>
    </row>
    <row r="48" spans="1:3" x14ac:dyDescent="0.25">
      <c r="A48" s="5" t="s">
        <v>110</v>
      </c>
      <c r="B48" s="5" t="s">
        <v>144</v>
      </c>
      <c r="C48" s="5" t="s">
        <v>145</v>
      </c>
    </row>
    <row r="49" spans="1:3" x14ac:dyDescent="0.25">
      <c r="A49" s="5" t="s">
        <v>113</v>
      </c>
      <c r="B49" s="5" t="s">
        <v>146</v>
      </c>
      <c r="C49" s="5" t="s">
        <v>147</v>
      </c>
    </row>
    <row r="50" spans="1:3" x14ac:dyDescent="0.25">
      <c r="A50" s="5" t="s">
        <v>115</v>
      </c>
      <c r="B50" s="5" t="s">
        <v>148</v>
      </c>
      <c r="C50" s="5" t="s">
        <v>149</v>
      </c>
    </row>
    <row r="51" spans="1:1" x14ac:dyDescent="0.25">
      <c r="A51" s="1" t="s">
        <v>150</v>
      </c>
    </row>
    <row r="52" spans="1:2" x14ac:dyDescent="0.25">
      <c r="A52" s="4" t="s">
        <v>151</v>
      </c>
      <c r="B52" s="4" t="s">
        <v>152</v>
      </c>
    </row>
    <row r="53" spans="1:2" x14ac:dyDescent="0.25">
      <c r="A53" s="5" t="s">
        <v>30</v>
      </c>
      <c r="B53" s="5" t="s">
        <v>153</v>
      </c>
    </row>
    <row r="54" spans="1:2" x14ac:dyDescent="0.25">
      <c r="A54" s="5" t="s">
        <v>51</v>
      </c>
      <c r="B54" s="5" t="s">
        <v>154</v>
      </c>
    </row>
    <row r="55" spans="1:2" x14ac:dyDescent="0.25">
      <c r="A55" s="5" t="s">
        <v>72</v>
      </c>
      <c r="B55" s="5" t="s">
        <v>155</v>
      </c>
    </row>
    <row r="56" spans="1:2" x14ac:dyDescent="0.25">
      <c r="A56" s="5" t="s">
        <v>91</v>
      </c>
      <c r="B56" s="5" t="s">
        <v>156</v>
      </c>
    </row>
    <row r="57" spans="1:1" x14ac:dyDescent="0.25">
      <c r="A57" s="1" t="s">
        <v>157</v>
      </c>
    </row>
    <row r="58" spans="1:4" x14ac:dyDescent="0.25">
      <c r="A58" s="4" t="s">
        <v>158</v>
      </c>
      <c r="B58" s="4" t="s">
        <v>159</v>
      </c>
      <c r="C58" s="4" t="s">
        <v>160</v>
      </c>
      <c r="D58" s="4" t="s">
        <v>161</v>
      </c>
    </row>
    <row r="59" spans="1:4" x14ac:dyDescent="0.25">
      <c r="A59" s="5" t="s">
        <v>162</v>
      </c>
      <c r="B59" s="5" t="s">
        <v>163</v>
      </c>
      <c r="C59" s="5" t="s">
        <v>164</v>
      </c>
      <c r="D59" s="5" t="s">
        <v>165</v>
      </c>
    </row>
    <row r="60" spans="1:4" x14ac:dyDescent="0.25">
      <c r="A60" s="5" t="s">
        <v>166</v>
      </c>
      <c r="B60" s="5" t="s">
        <v>167</v>
      </c>
      <c r="C60" s="5" t="s">
        <v>168</v>
      </c>
      <c r="D60" s="5" t="s">
        <v>169</v>
      </c>
    </row>
    <row r="61" spans="1:4" x14ac:dyDescent="0.25">
      <c r="A61" s="5" t="s">
        <v>170</v>
      </c>
      <c r="B61" s="5" t="s">
        <v>171</v>
      </c>
      <c r="C61" s="5" t="s">
        <v>172</v>
      </c>
      <c r="D61" s="5" t="s">
        <v>173</v>
      </c>
    </row>
    <row r="62" spans="1:4" x14ac:dyDescent="0.25">
      <c r="A62" s="5" t="s">
        <v>174</v>
      </c>
      <c r="B62" s="5" t="s">
        <v>175</v>
      </c>
      <c r="C62" s="5" t="s">
        <v>176</v>
      </c>
      <c r="D62" s="5" t="s">
        <v>177</v>
      </c>
    </row>
    <row r="63" spans="1:4" x14ac:dyDescent="0.25">
      <c r="A63" s="5" t="s">
        <v>178</v>
      </c>
      <c r="B63" s="5" t="s">
        <v>179</v>
      </c>
      <c r="C63" s="5" t="s">
        <v>180</v>
      </c>
      <c r="D63" s="5" t="s">
        <v>181</v>
      </c>
    </row>
    <row r="64" spans="1:4" x14ac:dyDescent="0.25">
      <c r="A64" s="5" t="s">
        <v>182</v>
      </c>
      <c r="B64" s="5" t="s">
        <v>183</v>
      </c>
      <c r="C64" s="5" t="s">
        <v>184</v>
      </c>
      <c r="D64" s="5" t="s">
        <v>185</v>
      </c>
    </row>
    <row r="65" spans="1:1" x14ac:dyDescent="0.25">
      <c r="A65" s="1" t="s">
        <v>186</v>
      </c>
    </row>
    <row r="66" spans="1:3" x14ac:dyDescent="0.25">
      <c r="A66" s="4" t="s">
        <v>16</v>
      </c>
      <c r="B66" s="4" t="s">
        <v>187</v>
      </c>
      <c r="C66" s="4" t="s">
        <v>188</v>
      </c>
    </row>
    <row r="67" spans="1:3" x14ac:dyDescent="0.25">
      <c r="A67" s="5" t="s">
        <v>37</v>
      </c>
      <c r="B67" s="5" t="s">
        <v>38</v>
      </c>
      <c r="C67" s="5" t="s">
        <v>189</v>
      </c>
    </row>
    <row r="68" spans="1:3" x14ac:dyDescent="0.25">
      <c r="A68" s="5" t="s">
        <v>59</v>
      </c>
      <c r="B68" s="5" t="s">
        <v>38</v>
      </c>
      <c r="C68" s="5" t="s">
        <v>190</v>
      </c>
    </row>
    <row r="69" spans="1:3" x14ac:dyDescent="0.25">
      <c r="A69" s="5" t="s">
        <v>79</v>
      </c>
      <c r="B69" s="5" t="s">
        <v>17</v>
      </c>
      <c r="C69" s="5" t="s">
        <v>191</v>
      </c>
    </row>
    <row r="70" spans="1:3" x14ac:dyDescent="0.25">
      <c r="A70" s="5" t="s">
        <v>95</v>
      </c>
      <c r="B70" s="5" t="s">
        <v>192</v>
      </c>
      <c r="C70" s="5" t="s">
        <v>193</v>
      </c>
    </row>
    <row r="71" spans="1:3" x14ac:dyDescent="0.25">
      <c r="A71" s="5" t="s">
        <v>106</v>
      </c>
      <c r="B71" s="5" t="s">
        <v>60</v>
      </c>
      <c r="C71" s="5" t="s">
        <v>194</v>
      </c>
    </row>
    <row r="72" spans="1:3" x14ac:dyDescent="0.25">
      <c r="A72" s="5" t="s">
        <v>111</v>
      </c>
      <c r="B72" s="5" t="s">
        <v>60</v>
      </c>
      <c r="C72" s="5" t="s">
        <v>195</v>
      </c>
    </row>
    <row r="73" spans="1:1" x14ac:dyDescent="0.25">
      <c r="A73" s="1" t="s">
        <v>196</v>
      </c>
    </row>
    <row r="74" spans="1:2" x14ac:dyDescent="0.25">
      <c r="A74" s="4" t="s">
        <v>197</v>
      </c>
      <c r="B74" s="4" t="s">
        <v>198</v>
      </c>
    </row>
    <row r="75" spans="1:2" x14ac:dyDescent="0.25">
      <c r="A75" s="5" t="s">
        <v>199</v>
      </c>
      <c r="B75" s="5" t="s">
        <v>200</v>
      </c>
    </row>
    <row r="76" spans="1:2" x14ac:dyDescent="0.25">
      <c r="A76" s="5" t="s">
        <v>201</v>
      </c>
      <c r="B76" s="5" t="s">
        <v>202</v>
      </c>
    </row>
    <row r="77" spans="1:2" x14ac:dyDescent="0.25">
      <c r="A77" s="5" t="s">
        <v>203</v>
      </c>
      <c r="B77" s="5" t="s">
        <v>204</v>
      </c>
    </row>
    <row r="78" spans="1:2" x14ac:dyDescent="0.25">
      <c r="A78" s="5" t="s">
        <v>205</v>
      </c>
      <c r="B78" s="5" t="s">
        <v>206</v>
      </c>
    </row>
    <row r="79" spans="1:1" x14ac:dyDescent="0.25">
      <c r="A79" s="1" t="s">
        <v>207</v>
      </c>
    </row>
    <row r="80" spans="1:4" x14ac:dyDescent="0.25">
      <c r="A80" s="4" t="s">
        <v>208</v>
      </c>
      <c r="B80" s="4" t="s">
        <v>209</v>
      </c>
      <c r="C80" s="4" t="s">
        <v>210</v>
      </c>
      <c r="D80" s="4" t="s">
        <v>211</v>
      </c>
    </row>
    <row r="81" spans="1:4" x14ac:dyDescent="0.25">
      <c r="A81" s="5" t="s">
        <v>24</v>
      </c>
      <c r="B81" s="5" t="s">
        <v>212</v>
      </c>
      <c r="C81" s="5" t="s">
        <v>213</v>
      </c>
      <c r="D81" s="5" t="s">
        <v>56</v>
      </c>
    </row>
    <row r="82" spans="1:4" x14ac:dyDescent="0.25">
      <c r="A82" s="5" t="s">
        <v>45</v>
      </c>
      <c r="B82" s="5" t="s">
        <v>214</v>
      </c>
      <c r="C82" s="5" t="s">
        <v>215</v>
      </c>
      <c r="D82" s="5" t="s">
        <v>216</v>
      </c>
    </row>
    <row r="83" spans="1:4" x14ac:dyDescent="0.25">
      <c r="A83" s="5" t="s">
        <v>67</v>
      </c>
      <c r="B83" s="5" t="s">
        <v>217</v>
      </c>
      <c r="C83" s="5" t="s">
        <v>218</v>
      </c>
      <c r="D83" s="5" t="s">
        <v>219</v>
      </c>
    </row>
    <row r="84" spans="1:4" x14ac:dyDescent="0.25">
      <c r="A84" s="5" t="s">
        <v>86</v>
      </c>
      <c r="B84" s="5" t="s">
        <v>220</v>
      </c>
      <c r="C84" s="5" t="s">
        <v>221</v>
      </c>
      <c r="D84" s="5" t="s">
        <v>222</v>
      </c>
    </row>
    <row r="85" spans="1:4" x14ac:dyDescent="0.25">
      <c r="A85" s="5" t="s">
        <v>100</v>
      </c>
      <c r="B85" s="5" t="s">
        <v>223</v>
      </c>
      <c r="C85" s="5" t="s">
        <v>224</v>
      </c>
      <c r="D85" s="5" t="s">
        <v>225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3A5E"/>
  </sheetPr>
  <dimension ref="B2:C41"/>
  <sheetFormatPr defaultRowHeight="15" outlineLevelRow="0" outlineLevelCol="0" x14ac:dyDescent="55"/>
  <cols>
    <col min="1" max="1" width="3" customWidth="1"/>
    <col min="2" max="2" width="32" customWidth="1"/>
    <col min="3" max="3" width="104" customWidth="1"/>
  </cols>
  <sheetData>
    <row r="2" ht="28" customHeight="1" spans="2:2" x14ac:dyDescent="0.25">
      <c r="B2" s="6" t="s">
        <v>226</v>
      </c>
    </row>
    <row r="3" ht="44" customHeight="1" spans="2:3" x14ac:dyDescent="0.25">
      <c r="B3" s="7" t="s">
        <v>227</v>
      </c>
      <c r="C3" s="7"/>
    </row>
    <row r="5" ht="22" customHeight="1" spans="2:3" x14ac:dyDescent="0.25">
      <c r="B5" s="8" t="s">
        <v>228</v>
      </c>
      <c r="C5" s="8"/>
    </row>
    <row r="6" ht="58" customHeight="1" spans="2:3" x14ac:dyDescent="0.25">
      <c r="B6" s="9" t="s">
        <v>229</v>
      </c>
      <c r="C6" s="10" t="s">
        <v>230</v>
      </c>
    </row>
    <row r="7" ht="19" customHeight="1" spans="2:3" x14ac:dyDescent="0.25">
      <c r="B7" s="9" t="s">
        <v>231</v>
      </c>
      <c r="C7" s="10" t="s">
        <v>232</v>
      </c>
    </row>
    <row r="8" ht="32" customHeight="1" spans="2:3" x14ac:dyDescent="0.25">
      <c r="B8" s="9" t="s">
        <v>233</v>
      </c>
      <c r="C8" s="10" t="s">
        <v>234</v>
      </c>
    </row>
    <row r="9" ht="45" customHeight="1" spans="2:3" x14ac:dyDescent="0.25">
      <c r="B9" s="9" t="s">
        <v>235</v>
      </c>
      <c r="C9" s="10" t="s">
        <v>236</v>
      </c>
    </row>
    <row r="11" ht="22" customHeight="1" spans="2:3" x14ac:dyDescent="0.25">
      <c r="B11" s="8" t="s">
        <v>237</v>
      </c>
      <c r="C11" s="8"/>
    </row>
    <row r="12" ht="32" customHeight="1" spans="2:3" x14ac:dyDescent="0.25">
      <c r="B12" s="9" t="s">
        <v>238</v>
      </c>
      <c r="C12" s="10" t="s">
        <v>239</v>
      </c>
    </row>
    <row r="13" ht="32" customHeight="1" spans="2:3" x14ac:dyDescent="0.25">
      <c r="B13" s="9" t="s">
        <v>240</v>
      </c>
      <c r="C13" s="10" t="s">
        <v>241</v>
      </c>
    </row>
    <row r="14" ht="32" customHeight="1" spans="2:3" x14ac:dyDescent="0.25">
      <c r="B14" s="9" t="s">
        <v>242</v>
      </c>
      <c r="C14" s="10" t="s">
        <v>243</v>
      </c>
    </row>
    <row r="15" ht="32" customHeight="1" spans="2:3" x14ac:dyDescent="0.25">
      <c r="B15" s="9" t="s">
        <v>244</v>
      </c>
      <c r="C15" s="10" t="s">
        <v>245</v>
      </c>
    </row>
    <row r="16" ht="32" customHeight="1" spans="2:3" x14ac:dyDescent="0.25">
      <c r="B16" s="9" t="s">
        <v>246</v>
      </c>
      <c r="C16" s="10" t="s">
        <v>247</v>
      </c>
    </row>
    <row r="17" ht="32" customHeight="1" spans="2:3" x14ac:dyDescent="0.25">
      <c r="B17" s="9" t="s">
        <v>248</v>
      </c>
      <c r="C17" s="10" t="s">
        <v>249</v>
      </c>
    </row>
    <row r="18" ht="32" customHeight="1" spans="2:3" x14ac:dyDescent="0.25">
      <c r="B18" s="9" t="s">
        <v>250</v>
      </c>
      <c r="C18" s="10" t="s">
        <v>251</v>
      </c>
    </row>
    <row r="19" ht="32" customHeight="1" spans="2:3" x14ac:dyDescent="0.25">
      <c r="B19" s="9" t="s">
        <v>252</v>
      </c>
      <c r="C19" s="10" t="s">
        <v>253</v>
      </c>
    </row>
    <row r="21" ht="22" customHeight="1" spans="2:3" x14ac:dyDescent="0.25">
      <c r="B21" s="8" t="s">
        <v>254</v>
      </c>
      <c r="C21" s="8"/>
    </row>
    <row r="22" ht="19" customHeight="1" spans="2:3" x14ac:dyDescent="0.25">
      <c r="B22" s="9" t="s">
        <v>255</v>
      </c>
      <c r="C22" s="10" t="s">
        <v>256</v>
      </c>
    </row>
    <row r="23" ht="19" customHeight="1" spans="2:3" x14ac:dyDescent="0.25">
      <c r="B23" s="9" t="s">
        <v>257</v>
      </c>
      <c r="C23" s="10" t="s">
        <v>258</v>
      </c>
    </row>
    <row r="24" ht="19" customHeight="1" spans="2:3" x14ac:dyDescent="0.25">
      <c r="B24" s="9" t="s">
        <v>259</v>
      </c>
      <c r="C24" s="10" t="s">
        <v>260</v>
      </c>
    </row>
    <row r="25" ht="19" customHeight="1" spans="2:3" x14ac:dyDescent="0.25">
      <c r="B25" s="9" t="s">
        <v>261</v>
      </c>
      <c r="C25" s="10" t="s">
        <v>262</v>
      </c>
    </row>
    <row r="26" ht="19" customHeight="1" spans="2:3" x14ac:dyDescent="0.25">
      <c r="B26" s="9" t="s">
        <v>263</v>
      </c>
      <c r="C26" s="10" t="s">
        <v>264</v>
      </c>
    </row>
    <row r="27" ht="19" customHeight="1" spans="2:3" x14ac:dyDescent="0.25">
      <c r="B27" s="9" t="s">
        <v>265</v>
      </c>
      <c r="C27" s="10" t="s">
        <v>266</v>
      </c>
    </row>
    <row r="28" ht="19" customHeight="1" spans="2:3" x14ac:dyDescent="0.25">
      <c r="B28" s="9" t="s">
        <v>267</v>
      </c>
      <c r="C28" s="10" t="s">
        <v>268</v>
      </c>
    </row>
    <row r="29" ht="19" customHeight="1" spans="2:3" x14ac:dyDescent="0.25">
      <c r="B29" s="9" t="s">
        <v>269</v>
      </c>
      <c r="C29" s="10" t="s">
        <v>270</v>
      </c>
    </row>
    <row r="30" ht="19" customHeight="1" spans="2:3" x14ac:dyDescent="0.25">
      <c r="B30" s="9" t="s">
        <v>271</v>
      </c>
      <c r="C30" s="10" t="s">
        <v>272</v>
      </c>
    </row>
    <row r="31" ht="19" customHeight="1" spans="2:3" x14ac:dyDescent="0.25">
      <c r="B31" s="9" t="s">
        <v>273</v>
      </c>
      <c r="C31" s="10" t="s">
        <v>274</v>
      </c>
    </row>
    <row r="32" ht="19" customHeight="1" spans="2:3" x14ac:dyDescent="0.25">
      <c r="B32" s="9" t="s">
        <v>275</v>
      </c>
      <c r="C32" s="10" t="s">
        <v>276</v>
      </c>
    </row>
    <row r="33" ht="19" customHeight="1" spans="2:3" x14ac:dyDescent="0.25">
      <c r="B33" s="9" t="s">
        <v>277</v>
      </c>
      <c r="C33" s="10" t="s">
        <v>278</v>
      </c>
    </row>
    <row r="35" ht="22" customHeight="1" spans="2:3" x14ac:dyDescent="0.25">
      <c r="B35" s="8" t="s">
        <v>279</v>
      </c>
      <c r="C35" s="8"/>
    </row>
    <row r="36" ht="45" customHeight="1" spans="2:3" x14ac:dyDescent="0.25">
      <c r="B36" s="9" t="s">
        <v>280</v>
      </c>
      <c r="C36" s="10" t="s">
        <v>281</v>
      </c>
    </row>
    <row r="37" ht="45" customHeight="1" spans="2:3" x14ac:dyDescent="0.25">
      <c r="B37" s="9" t="s">
        <v>282</v>
      </c>
      <c r="C37" s="10" t="s">
        <v>283</v>
      </c>
    </row>
    <row r="38" ht="45" customHeight="1" spans="2:3" x14ac:dyDescent="0.25">
      <c r="B38" s="9" t="s">
        <v>284</v>
      </c>
      <c r="C38" s="10" t="s">
        <v>285</v>
      </c>
    </row>
    <row r="39" ht="32" customHeight="1" spans="2:3" x14ac:dyDescent="0.25">
      <c r="B39" s="9" t="s">
        <v>286</v>
      </c>
      <c r="C39" s="10" t="s">
        <v>287</v>
      </c>
    </row>
    <row r="40" ht="19" customHeight="1" spans="2:3" x14ac:dyDescent="0.25">
      <c r="B40" s="9" t="s">
        <v>288</v>
      </c>
      <c r="C40" s="10" t="s">
        <v>289</v>
      </c>
    </row>
    <row r="41" ht="19" customHeight="1" spans="2:3" x14ac:dyDescent="0.25">
      <c r="B41" s="9" t="s">
        <v>290</v>
      </c>
      <c r="C41" s="10" t="s">
        <v>291</v>
      </c>
    </row>
  </sheetData>
  <mergeCells count="5">
    <mergeCell ref="B3:C3"/>
    <mergeCell ref="B5:C5"/>
    <mergeCell ref="B11:C11"/>
    <mergeCell ref="B21:C21"/>
    <mergeCell ref="B35:C3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3A5E"/>
  </sheetPr>
  <dimension ref="A1:AB52"/>
  <sheetViews>
    <sheetView workbookViewId="0">
      <pane xSplit="3" ySplit="2" topLeftCell="D3" activePane="bottomRight" state="frozen"/>
      <selection pane="bottomRight"/>
    </sheetView>
  </sheetViews>
  <sheetFormatPr defaultRowHeight="15" outlineLevelRow="0" outlineLevelCol="0" x14ac:dyDescent="55"/>
  <cols>
    <col min="2" max="2" width="10" customWidth="1"/>
    <col min="3" max="3" width="32" customWidth="1"/>
    <col min="4" max="4" width="40" customWidth="1"/>
    <col min="5" max="5" width="16" customWidth="1"/>
    <col min="6" max="7" width="14" customWidth="1"/>
    <col min="8" max="8" width="12" customWidth="1"/>
    <col min="9" max="9" width="14" customWidth="1"/>
    <col min="10" max="12" width="11" customWidth="1"/>
    <col min="13" max="13" width="12" customWidth="1"/>
    <col min="14" max="14" width="11" customWidth="1"/>
    <col min="15" max="16" width="13" customWidth="1"/>
    <col min="17" max="19" width="12" customWidth="1"/>
    <col min="20" max="21" width="18" customWidth="1"/>
    <col min="22" max="22" width="30" customWidth="1"/>
    <col min="23" max="24" width="15" customWidth="1"/>
    <col min="25" max="25" width="26" customWidth="1"/>
    <col min="26" max="26" width="20" customWidth="1"/>
    <col min="27" max="27" width="11" customWidth="1"/>
    <col min="28" max="28" width="12" customWidth="1"/>
  </cols>
  <sheetData>
    <row r="1" ht="20" customHeight="1" spans="1:28" x14ac:dyDescent="0.25">
      <c r="A1" s="11" t="s">
        <v>292</v>
      </c>
      <c r="B1" s="11"/>
      <c r="C1" s="11"/>
      <c r="D1" s="11"/>
      <c r="E1" s="11"/>
      <c r="F1" s="11"/>
      <c r="G1" s="11"/>
      <c r="H1" s="11"/>
      <c r="I1" s="11"/>
      <c r="J1" s="12" t="s">
        <v>293</v>
      </c>
      <c r="K1" s="12"/>
      <c r="L1" s="12"/>
      <c r="M1" s="12"/>
      <c r="N1" s="12"/>
      <c r="O1" s="13" t="s">
        <v>294</v>
      </c>
      <c r="P1" s="13"/>
      <c r="Q1" s="13"/>
      <c r="R1" s="13"/>
      <c r="S1" s="13"/>
      <c r="T1" s="13"/>
      <c r="U1" s="13"/>
      <c r="V1" s="13"/>
      <c r="W1" s="14" t="s">
        <v>295</v>
      </c>
      <c r="X1" s="14"/>
      <c r="Y1" s="14"/>
      <c r="Z1" s="14"/>
      <c r="AA1" s="14"/>
      <c r="AB1" s="14"/>
    </row>
    <row r="2" ht="48" customHeight="1" spans="1:28" x14ac:dyDescent="0.25">
      <c r="A2" s="15" t="s">
        <v>296</v>
      </c>
      <c r="B2" s="15" t="s">
        <v>21</v>
      </c>
      <c r="C2" s="15" t="s">
        <v>297</v>
      </c>
      <c r="D2" s="15" t="s">
        <v>298</v>
      </c>
      <c r="E2" s="15" t="s">
        <v>299</v>
      </c>
      <c r="F2" s="15" t="s">
        <v>300</v>
      </c>
      <c r="G2" s="15" t="s">
        <v>1</v>
      </c>
      <c r="H2" s="15" t="s">
        <v>301</v>
      </c>
      <c r="I2" s="15" t="s">
        <v>302</v>
      </c>
      <c r="J2" s="15" t="s">
        <v>303</v>
      </c>
      <c r="K2" s="15" t="s">
        <v>304</v>
      </c>
      <c r="L2" s="15" t="s">
        <v>305</v>
      </c>
      <c r="M2" s="15" t="s">
        <v>306</v>
      </c>
      <c r="N2" s="15" t="s">
        <v>307</v>
      </c>
      <c r="O2" s="15" t="s">
        <v>308</v>
      </c>
      <c r="P2" s="15" t="s">
        <v>309</v>
      </c>
      <c r="Q2" s="15" t="s">
        <v>310</v>
      </c>
      <c r="R2" s="15" t="s">
        <v>311</v>
      </c>
      <c r="S2" s="15" t="s">
        <v>312</v>
      </c>
      <c r="T2" s="15" t="s">
        <v>313</v>
      </c>
      <c r="U2" s="15" t="s">
        <v>314</v>
      </c>
      <c r="V2" s="15" t="s">
        <v>315</v>
      </c>
      <c r="W2" s="15" t="s">
        <v>14</v>
      </c>
      <c r="X2" s="15" t="s">
        <v>19</v>
      </c>
      <c r="Y2" s="15" t="s">
        <v>132</v>
      </c>
      <c r="Z2" s="15" t="s">
        <v>316</v>
      </c>
      <c r="AA2" s="15" t="s">
        <v>317</v>
      </c>
      <c r="AB2" s="15" t="s">
        <v>318</v>
      </c>
    </row>
    <row r="3" ht="30" customHeight="1" spans="1:28" x14ac:dyDescent="0.25">
      <c r="A3" s="16" t="s">
        <v>319</v>
      </c>
      <c r="B3" s="16" t="s">
        <v>83</v>
      </c>
      <c r="C3" s="16" t="s">
        <v>320</v>
      </c>
      <c r="D3" s="16" t="s">
        <v>321</v>
      </c>
      <c r="E3" s="16" t="s">
        <v>322</v>
      </c>
      <c r="F3" s="16" t="s">
        <v>323</v>
      </c>
      <c r="G3" s="16" t="s">
        <v>99</v>
      </c>
      <c r="H3" s="17">
        <v>46268.58333333333</v>
      </c>
      <c r="I3" s="16" t="s">
        <v>324</v>
      </c>
      <c r="J3" s="18">
        <f>IF(Scoring!N3="","",ROUND(Scoring!N3/3,1))</f>
      </c>
      <c r="K3" s="18">
        <f>IF(Scoring!M3="","",ROUND(Scoring!M3/3,1))</f>
      </c>
      <c r="L3" s="18">
        <f>IF(Scoring!L3="","",ROUND(Scoring!L3/3,1))</f>
      </c>
      <c r="M3" s="19">
        <v>5</v>
      </c>
      <c r="N3" s="18">
        <f>IF(COUNT(J3:M3)&lt;4,"",SUM(J3:M3))</f>
      </c>
      <c r="O3" s="16" t="s">
        <v>34</v>
      </c>
      <c r="P3" s="16" t="s">
        <v>56</v>
      </c>
      <c r="Q3" s="16" t="s">
        <v>56</v>
      </c>
      <c r="R3" s="16" t="s">
        <v>56</v>
      </c>
      <c r="S3" s="16" t="s">
        <v>56</v>
      </c>
      <c r="T3" s="20">
        <f>IF(COUNTBLANK(O3:S3)&gt;0,"",IF(P3="Yes","Predictive or optimisation",IF(O3="No","Automation",IF(AND(Q3="Yes",R3="Yes",S3="Yes"),"Agent",IF(AND(Q3="No",R3="No"),"Retrieval","LLM-augmented workflow")))))</f>
      </c>
      <c r="U3" s="16" t="s">
        <v>67</v>
      </c>
      <c r="V3" s="20">
        <f>IF(U3="","",IF(U3="Automation","Power Automate, Logic Apps or code. No AI governance.",IF(U3="Predictive or optimisation","Fabric data science, Azure ML or a prebuilt Foundry model. Model governance, not agent governance.",IF(U3="Retrieval","SharePoint agent, Copilot Studio retrieval agent or classic RAG. Light governance.",IF(U3="LLM-augmented workflow","A flow with one AI action, or a scheduled prompt. Governance proportional to consequence.","Agent. Continue to Stage 2.")))))</f>
      </c>
      <c r="W3" s="20">
        <f>IF('Assurance and gate'!K3="","",'Assurance and gate'!K3)</f>
      </c>
      <c r="X3" s="20">
        <f>IF(IF('Technology direction'!D3="",'Technology direction'!C3,'Technology direction'!D3)="","",IF('Technology direction'!D3="",'Technology direction'!C3,'Technology direction'!D3))</f>
      </c>
      <c r="Y3" s="20">
        <f>IF('Technology direction'!H3="","",'Technology direction'!H3)</f>
      </c>
      <c r="Z3" s="20">
        <f>IF('Answers out'!K3="","",'Answers out'!K3)</f>
      </c>
      <c r="AA3" s="20">
        <f>IF('Answers out'!C3="","",'Answers out'!C3)</f>
      </c>
      <c r="AB3" s="21">
        <f>IF('Answers out'!N3="","",'Answers out'!N3)</f>
      </c>
    </row>
    <row r="4" ht="30" customHeight="1" spans="1:28" x14ac:dyDescent="0.25">
      <c r="A4" s="16" t="s">
        <v>325</v>
      </c>
      <c r="B4" s="16" t="s">
        <v>83</v>
      </c>
      <c r="C4" s="16" t="s">
        <v>326</v>
      </c>
      <c r="D4" s="16" t="s">
        <v>327</v>
      </c>
      <c r="E4" s="16" t="s">
        <v>328</v>
      </c>
      <c r="F4" s="16" t="s">
        <v>329</v>
      </c>
      <c r="G4" s="16" t="s">
        <v>44</v>
      </c>
      <c r="H4" s="17">
        <v>46273.58333333333</v>
      </c>
      <c r="I4" s="16" t="s">
        <v>330</v>
      </c>
      <c r="J4" s="18">
        <f>IF(Scoring!N4="","",ROUND(Scoring!N4/3,1))</f>
      </c>
      <c r="K4" s="18">
        <f>IF(Scoring!M4="","",ROUND(Scoring!M4/3,1))</f>
      </c>
      <c r="L4" s="18">
        <f>IF(Scoring!L4="","",ROUND(Scoring!L4/3,1))</f>
      </c>
      <c r="M4" s="19">
        <v>3</v>
      </c>
      <c r="N4" s="18">
        <f>IF(COUNT(J4:M4)&lt;4,"",SUM(J4:M4))</f>
      </c>
      <c r="O4" s="16" t="s">
        <v>34</v>
      </c>
      <c r="P4" s="16" t="s">
        <v>56</v>
      </c>
      <c r="Q4" s="16" t="s">
        <v>34</v>
      </c>
      <c r="R4" s="16" t="s">
        <v>34</v>
      </c>
      <c r="S4" s="16" t="s">
        <v>34</v>
      </c>
      <c r="T4" s="20">
        <f>IF(COUNTBLANK(O4:S4)&gt;0,"",IF(P4="Yes","Predictive or optimisation",IF(O4="No","Automation",IF(AND(Q4="Yes",R4="Yes",S4="Yes"),"Agent",IF(AND(Q4="No",R4="No"),"Retrieval","LLM-augmented workflow")))))</f>
      </c>
      <c r="U4" s="16" t="s">
        <v>100</v>
      </c>
      <c r="V4" s="20">
        <f>IF(U4="","",IF(U4="Automation","Power Automate, Logic Apps or code. No AI governance.",IF(U4="Predictive or optimisation","Fabric data science, Azure ML or a prebuilt Foundry model. Model governance, not agent governance.",IF(U4="Retrieval","SharePoint agent, Copilot Studio retrieval agent or classic RAG. Light governance.",IF(U4="LLM-augmented workflow","A flow with one AI action, or a scheduled prompt. Governance proportional to consequence.","Agent. Continue to Stage 2.")))))</f>
      </c>
      <c r="W4" s="20">
        <f>IF('Assurance and gate'!K4="","",'Assurance and gate'!K4)</f>
      </c>
      <c r="X4" s="20">
        <f>IF(IF('Technology direction'!D4="",'Technology direction'!C4,'Technology direction'!D4)="","",IF('Technology direction'!D4="",'Technology direction'!C4,'Technology direction'!D4))</f>
      </c>
      <c r="Y4" s="20">
        <f>IF('Technology direction'!H4="","",'Technology direction'!H4)</f>
      </c>
      <c r="Z4" s="20">
        <f>IF('Answers out'!K4="","",'Answers out'!K4)</f>
      </c>
      <c r="AA4" s="20">
        <f>IF('Answers out'!C4="","",'Answers out'!C4)</f>
      </c>
      <c r="AB4" s="21">
        <f>IF('Answers out'!N4="","",'Answers out'!N4)</f>
      </c>
    </row>
    <row r="5" ht="30" customHeight="1" spans="1:28" x14ac:dyDescent="0.25">
      <c r="A5" s="16"/>
      <c r="B5" s="16"/>
      <c r="C5" s="16"/>
      <c r="D5" s="16"/>
      <c r="E5" s="16"/>
      <c r="F5" s="16"/>
      <c r="G5" s="16"/>
      <c r="H5" s="17"/>
      <c r="I5" s="16"/>
      <c r="J5" s="18">
        <f>IF(Scoring!N5="","",ROUND(Scoring!N5/3,1))</f>
      </c>
      <c r="K5" s="18">
        <f>IF(Scoring!M5="","",ROUND(Scoring!M5/3,1))</f>
      </c>
      <c r="L5" s="18">
        <f>IF(Scoring!L5="","",ROUND(Scoring!L5/3,1))</f>
      </c>
      <c r="M5" s="19"/>
      <c r="N5" s="18">
        <f>IF(COUNT(J5:M5)&lt;4,"",SUM(J5:M5))</f>
      </c>
      <c r="O5" s="16"/>
      <c r="P5" s="16"/>
      <c r="Q5" s="16"/>
      <c r="R5" s="16"/>
      <c r="S5" s="16"/>
      <c r="T5" s="20">
        <f>IF(COUNTBLANK(O5:S5)&gt;0,"",IF(P5="Yes","Predictive or optimisation",IF(O5="No","Automation",IF(AND(Q5="Yes",R5="Yes",S5="Yes"),"Agent",IF(AND(Q5="No",R5="No"),"Retrieval","LLM-augmented workflow")))))</f>
      </c>
      <c r="U5" s="16"/>
      <c r="V5" s="20">
        <f>IF(U5="","",IF(U5="Automation","Power Automate, Logic Apps or code. No AI governance.",IF(U5="Predictive or optimisation","Fabric data science, Azure ML or a prebuilt Foundry model. Model governance, not agent governance.",IF(U5="Retrieval","SharePoint agent, Copilot Studio retrieval agent or classic RAG. Light governance.",IF(U5="LLM-augmented workflow","A flow with one AI action, or a scheduled prompt. Governance proportional to consequence.","Agent. Continue to Stage 2.")))))</f>
      </c>
      <c r="W5" s="20">
        <f>IF('Assurance and gate'!K5="","",'Assurance and gate'!K5)</f>
      </c>
      <c r="X5" s="20">
        <f>IF(IF('Technology direction'!D5="",'Technology direction'!C5,'Technology direction'!D5)="","",IF('Technology direction'!D5="",'Technology direction'!C5,'Technology direction'!D5))</f>
      </c>
      <c r="Y5" s="20">
        <f>IF('Technology direction'!H5="","",'Technology direction'!H5)</f>
      </c>
      <c r="Z5" s="20">
        <f>IF('Answers out'!K5="","",'Answers out'!K5)</f>
      </c>
      <c r="AA5" s="20">
        <f>IF('Answers out'!C5="","",'Answers out'!C5)</f>
      </c>
      <c r="AB5" s="21">
        <f>IF('Answers out'!N5="","",'Answers out'!N5)</f>
      </c>
    </row>
    <row r="6" ht="30" customHeight="1" spans="1:28" x14ac:dyDescent="0.25">
      <c r="A6" s="16"/>
      <c r="B6" s="16"/>
      <c r="C6" s="16"/>
      <c r="D6" s="16"/>
      <c r="E6" s="16"/>
      <c r="F6" s="16"/>
      <c r="G6" s="16"/>
      <c r="H6" s="17"/>
      <c r="I6" s="16"/>
      <c r="J6" s="18">
        <f>IF(Scoring!N6="","",ROUND(Scoring!N6/3,1))</f>
      </c>
      <c r="K6" s="18">
        <f>IF(Scoring!M6="","",ROUND(Scoring!M6/3,1))</f>
      </c>
      <c r="L6" s="18">
        <f>IF(Scoring!L6="","",ROUND(Scoring!L6/3,1))</f>
      </c>
      <c r="M6" s="19"/>
      <c r="N6" s="18">
        <f>IF(COUNT(J6:M6)&lt;4,"",SUM(J6:M6))</f>
      </c>
      <c r="O6" s="16"/>
      <c r="P6" s="16"/>
      <c r="Q6" s="16"/>
      <c r="R6" s="16"/>
      <c r="S6" s="16"/>
      <c r="T6" s="20">
        <f>IF(COUNTBLANK(O6:S6)&gt;0,"",IF(P6="Yes","Predictive or optimisation",IF(O6="No","Automation",IF(AND(Q6="Yes",R6="Yes",S6="Yes"),"Agent",IF(AND(Q6="No",R6="No"),"Retrieval","LLM-augmented workflow")))))</f>
      </c>
      <c r="U6" s="16"/>
      <c r="V6" s="20">
        <f>IF(U6="","",IF(U6="Automation","Power Automate, Logic Apps or code. No AI governance.",IF(U6="Predictive or optimisation","Fabric data science, Azure ML or a prebuilt Foundry model. Model governance, not agent governance.",IF(U6="Retrieval","SharePoint agent, Copilot Studio retrieval agent or classic RAG. Light governance.",IF(U6="LLM-augmented workflow","A flow with one AI action, or a scheduled prompt. Governance proportional to consequence.","Agent. Continue to Stage 2.")))))</f>
      </c>
      <c r="W6" s="20">
        <f>IF('Assurance and gate'!K6="","",'Assurance and gate'!K6)</f>
      </c>
      <c r="X6" s="20">
        <f>IF(IF('Technology direction'!D6="",'Technology direction'!C6,'Technology direction'!D6)="","",IF('Technology direction'!D6="",'Technology direction'!C6,'Technology direction'!D6))</f>
      </c>
      <c r="Y6" s="20">
        <f>IF('Technology direction'!H6="","",'Technology direction'!H6)</f>
      </c>
      <c r="Z6" s="20">
        <f>IF('Answers out'!K6="","",'Answers out'!K6)</f>
      </c>
      <c r="AA6" s="20">
        <f>IF('Answers out'!C6="","",'Answers out'!C6)</f>
      </c>
      <c r="AB6" s="21">
        <f>IF('Answers out'!N6="","",'Answers out'!N6)</f>
      </c>
    </row>
    <row r="7" ht="30" customHeight="1" spans="1:28" x14ac:dyDescent="0.25">
      <c r="A7" s="16"/>
      <c r="B7" s="16"/>
      <c r="C7" s="16"/>
      <c r="D7" s="16"/>
      <c r="E7" s="16"/>
      <c r="F7" s="16"/>
      <c r="G7" s="16"/>
      <c r="H7" s="17"/>
      <c r="I7" s="16"/>
      <c r="J7" s="18">
        <f>IF(Scoring!N7="","",ROUND(Scoring!N7/3,1))</f>
      </c>
      <c r="K7" s="18">
        <f>IF(Scoring!M7="","",ROUND(Scoring!M7/3,1))</f>
      </c>
      <c r="L7" s="18">
        <f>IF(Scoring!L7="","",ROUND(Scoring!L7/3,1))</f>
      </c>
      <c r="M7" s="19"/>
      <c r="N7" s="18">
        <f>IF(COUNT(J7:M7)&lt;4,"",SUM(J7:M7))</f>
      </c>
      <c r="O7" s="16"/>
      <c r="P7" s="16"/>
      <c r="Q7" s="16"/>
      <c r="R7" s="16"/>
      <c r="S7" s="16"/>
      <c r="T7" s="20">
        <f>IF(COUNTBLANK(O7:S7)&gt;0,"",IF(P7="Yes","Predictive or optimisation",IF(O7="No","Automation",IF(AND(Q7="Yes",R7="Yes",S7="Yes"),"Agent",IF(AND(Q7="No",R7="No"),"Retrieval","LLM-augmented workflow")))))</f>
      </c>
      <c r="U7" s="16"/>
      <c r="V7" s="20">
        <f>IF(U7="","",IF(U7="Automation","Power Automate, Logic Apps or code. No AI governance.",IF(U7="Predictive or optimisation","Fabric data science, Azure ML or a prebuilt Foundry model. Model governance, not agent governance.",IF(U7="Retrieval","SharePoint agent, Copilot Studio retrieval agent or classic RAG. Light governance.",IF(U7="LLM-augmented workflow","A flow with one AI action, or a scheduled prompt. Governance proportional to consequence.","Agent. Continue to Stage 2.")))))</f>
      </c>
      <c r="W7" s="20">
        <f>IF('Assurance and gate'!K7="","",'Assurance and gate'!K7)</f>
      </c>
      <c r="X7" s="20">
        <f>IF(IF('Technology direction'!D7="",'Technology direction'!C7,'Technology direction'!D7)="","",IF('Technology direction'!D7="",'Technology direction'!C7,'Technology direction'!D7))</f>
      </c>
      <c r="Y7" s="20">
        <f>IF('Technology direction'!H7="","",'Technology direction'!H7)</f>
      </c>
      <c r="Z7" s="20">
        <f>IF('Answers out'!K7="","",'Answers out'!K7)</f>
      </c>
      <c r="AA7" s="20">
        <f>IF('Answers out'!C7="","",'Answers out'!C7)</f>
      </c>
      <c r="AB7" s="21">
        <f>IF('Answers out'!N7="","",'Answers out'!N7)</f>
      </c>
    </row>
    <row r="8" ht="30" customHeight="1" spans="1:28" x14ac:dyDescent="0.25">
      <c r="A8" s="16"/>
      <c r="B8" s="16"/>
      <c r="C8" s="16"/>
      <c r="D8" s="16"/>
      <c r="E8" s="16"/>
      <c r="F8" s="16"/>
      <c r="G8" s="16"/>
      <c r="H8" s="17"/>
      <c r="I8" s="16"/>
      <c r="J8" s="18">
        <f>IF(Scoring!N8="","",ROUND(Scoring!N8/3,1))</f>
      </c>
      <c r="K8" s="18">
        <f>IF(Scoring!M8="","",ROUND(Scoring!M8/3,1))</f>
      </c>
      <c r="L8" s="18">
        <f>IF(Scoring!L8="","",ROUND(Scoring!L8/3,1))</f>
      </c>
      <c r="M8" s="19"/>
      <c r="N8" s="18">
        <f>IF(COUNT(J8:M8)&lt;4,"",SUM(J8:M8))</f>
      </c>
      <c r="O8" s="16"/>
      <c r="P8" s="16"/>
      <c r="Q8" s="16"/>
      <c r="R8" s="16"/>
      <c r="S8" s="16"/>
      <c r="T8" s="20">
        <f>IF(COUNTBLANK(O8:S8)&gt;0,"",IF(P8="Yes","Predictive or optimisation",IF(O8="No","Automation",IF(AND(Q8="Yes",R8="Yes",S8="Yes"),"Agent",IF(AND(Q8="No",R8="No"),"Retrieval","LLM-augmented workflow")))))</f>
      </c>
      <c r="U8" s="16"/>
      <c r="V8" s="20">
        <f>IF(U8="","",IF(U8="Automation","Power Automate, Logic Apps or code. No AI governance.",IF(U8="Predictive or optimisation","Fabric data science, Azure ML or a prebuilt Foundry model. Model governance, not agent governance.",IF(U8="Retrieval","SharePoint agent, Copilot Studio retrieval agent or classic RAG. Light governance.",IF(U8="LLM-augmented workflow","A flow with one AI action, or a scheduled prompt. Governance proportional to consequence.","Agent. Continue to Stage 2.")))))</f>
      </c>
      <c r="W8" s="20">
        <f>IF('Assurance and gate'!K8="","",'Assurance and gate'!K8)</f>
      </c>
      <c r="X8" s="20">
        <f>IF(IF('Technology direction'!D8="",'Technology direction'!C8,'Technology direction'!D8)="","",IF('Technology direction'!D8="",'Technology direction'!C8,'Technology direction'!D8))</f>
      </c>
      <c r="Y8" s="20">
        <f>IF('Technology direction'!H8="","",'Technology direction'!H8)</f>
      </c>
      <c r="Z8" s="20">
        <f>IF('Answers out'!K8="","",'Answers out'!K8)</f>
      </c>
      <c r="AA8" s="20">
        <f>IF('Answers out'!C8="","",'Answers out'!C8)</f>
      </c>
      <c r="AB8" s="21">
        <f>IF('Answers out'!N8="","",'Answers out'!N8)</f>
      </c>
    </row>
    <row r="9" ht="30" customHeight="1" spans="1:28" x14ac:dyDescent="0.25">
      <c r="A9" s="16"/>
      <c r="B9" s="16"/>
      <c r="C9" s="16"/>
      <c r="D9" s="16"/>
      <c r="E9" s="16"/>
      <c r="F9" s="16"/>
      <c r="G9" s="16"/>
      <c r="H9" s="17"/>
      <c r="I9" s="16"/>
      <c r="J9" s="18">
        <f>IF(Scoring!N9="","",ROUND(Scoring!N9/3,1))</f>
      </c>
      <c r="K9" s="18">
        <f>IF(Scoring!M9="","",ROUND(Scoring!M9/3,1))</f>
      </c>
      <c r="L9" s="18">
        <f>IF(Scoring!L9="","",ROUND(Scoring!L9/3,1))</f>
      </c>
      <c r="M9" s="19"/>
      <c r="N9" s="18">
        <f>IF(COUNT(J9:M9)&lt;4,"",SUM(J9:M9))</f>
      </c>
      <c r="O9" s="16"/>
      <c r="P9" s="16"/>
      <c r="Q9" s="16"/>
      <c r="R9" s="16"/>
      <c r="S9" s="16"/>
      <c r="T9" s="20">
        <f>IF(COUNTBLANK(O9:S9)&gt;0,"",IF(P9="Yes","Predictive or optimisation",IF(O9="No","Automation",IF(AND(Q9="Yes",R9="Yes",S9="Yes"),"Agent",IF(AND(Q9="No",R9="No"),"Retrieval","LLM-augmented workflow")))))</f>
      </c>
      <c r="U9" s="16"/>
      <c r="V9" s="20">
        <f>IF(U9="","",IF(U9="Automation","Power Automate, Logic Apps or code. No AI governance.",IF(U9="Predictive or optimisation","Fabric data science, Azure ML or a prebuilt Foundry model. Model governance, not agent governance.",IF(U9="Retrieval","SharePoint agent, Copilot Studio retrieval agent or classic RAG. Light governance.",IF(U9="LLM-augmented workflow","A flow with one AI action, or a scheduled prompt. Governance proportional to consequence.","Agent. Continue to Stage 2.")))))</f>
      </c>
      <c r="W9" s="20">
        <f>IF('Assurance and gate'!K9="","",'Assurance and gate'!K9)</f>
      </c>
      <c r="X9" s="20">
        <f>IF(IF('Technology direction'!D9="",'Technology direction'!C9,'Technology direction'!D9)="","",IF('Technology direction'!D9="",'Technology direction'!C9,'Technology direction'!D9))</f>
      </c>
      <c r="Y9" s="20">
        <f>IF('Technology direction'!H9="","",'Technology direction'!H9)</f>
      </c>
      <c r="Z9" s="20">
        <f>IF('Answers out'!K9="","",'Answers out'!K9)</f>
      </c>
      <c r="AA9" s="20">
        <f>IF('Answers out'!C9="","",'Answers out'!C9)</f>
      </c>
      <c r="AB9" s="21">
        <f>IF('Answers out'!N9="","",'Answers out'!N9)</f>
      </c>
    </row>
    <row r="10" ht="30" customHeight="1" spans="1:28" x14ac:dyDescent="0.25">
      <c r="A10" s="16"/>
      <c r="B10" s="16"/>
      <c r="C10" s="16"/>
      <c r="D10" s="16"/>
      <c r="E10" s="16"/>
      <c r="F10" s="16"/>
      <c r="G10" s="16"/>
      <c r="H10" s="17"/>
      <c r="I10" s="16"/>
      <c r="J10" s="18">
        <f>IF(Scoring!N10="","",ROUND(Scoring!N10/3,1))</f>
      </c>
      <c r="K10" s="18">
        <f>IF(Scoring!M10="","",ROUND(Scoring!M10/3,1))</f>
      </c>
      <c r="L10" s="18">
        <f>IF(Scoring!L10="","",ROUND(Scoring!L10/3,1))</f>
      </c>
      <c r="M10" s="19"/>
      <c r="N10" s="18">
        <f>IF(COUNT(J10:M10)&lt;4,"",SUM(J10:M10))</f>
      </c>
      <c r="O10" s="16"/>
      <c r="P10" s="16"/>
      <c r="Q10" s="16"/>
      <c r="R10" s="16"/>
      <c r="S10" s="16"/>
      <c r="T10" s="20">
        <f>IF(COUNTBLANK(O10:S10)&gt;0,"",IF(P10="Yes","Predictive or optimisation",IF(O10="No","Automation",IF(AND(Q10="Yes",R10="Yes",S10="Yes"),"Agent",IF(AND(Q10="No",R10="No"),"Retrieval","LLM-augmented workflow")))))</f>
      </c>
      <c r="U10" s="16"/>
      <c r="V10" s="20">
        <f>IF(U10="","",IF(U10="Automation","Power Automate, Logic Apps or code. No AI governance.",IF(U10="Predictive or optimisation","Fabric data science, Azure ML or a prebuilt Foundry model. Model governance, not agent governance.",IF(U10="Retrieval","SharePoint agent, Copilot Studio retrieval agent or classic RAG. Light governance.",IF(U10="LLM-augmented workflow","A flow with one AI action, or a scheduled prompt. Governance proportional to consequence.","Agent. Continue to Stage 2.")))))</f>
      </c>
      <c r="W10" s="20">
        <f>IF('Assurance and gate'!K10="","",'Assurance and gate'!K10)</f>
      </c>
      <c r="X10" s="20">
        <f>IF(IF('Technology direction'!D10="",'Technology direction'!C10,'Technology direction'!D10)="","",IF('Technology direction'!D10="",'Technology direction'!C10,'Technology direction'!D10))</f>
      </c>
      <c r="Y10" s="20">
        <f>IF('Technology direction'!H10="","",'Technology direction'!H10)</f>
      </c>
      <c r="Z10" s="20">
        <f>IF('Answers out'!K10="","",'Answers out'!K10)</f>
      </c>
      <c r="AA10" s="20">
        <f>IF('Answers out'!C10="","",'Answers out'!C10)</f>
      </c>
      <c r="AB10" s="21">
        <f>IF('Answers out'!N10="","",'Answers out'!N10)</f>
      </c>
    </row>
    <row r="11" ht="30" customHeight="1" spans="1:28" x14ac:dyDescent="0.25">
      <c r="A11" s="16"/>
      <c r="B11" s="16"/>
      <c r="C11" s="16"/>
      <c r="D11" s="16"/>
      <c r="E11" s="16"/>
      <c r="F11" s="16"/>
      <c r="G11" s="16"/>
      <c r="H11" s="17"/>
      <c r="I11" s="16"/>
      <c r="J11" s="18">
        <f>IF(Scoring!N11="","",ROUND(Scoring!N11/3,1))</f>
      </c>
      <c r="K11" s="18">
        <f>IF(Scoring!M11="","",ROUND(Scoring!M11/3,1))</f>
      </c>
      <c r="L11" s="18">
        <f>IF(Scoring!L11="","",ROUND(Scoring!L11/3,1))</f>
      </c>
      <c r="M11" s="19"/>
      <c r="N11" s="18">
        <f>IF(COUNT(J11:M11)&lt;4,"",SUM(J11:M11))</f>
      </c>
      <c r="O11" s="16"/>
      <c r="P11" s="16"/>
      <c r="Q11" s="16"/>
      <c r="R11" s="16"/>
      <c r="S11" s="16"/>
      <c r="T11" s="20">
        <f>IF(COUNTBLANK(O11:S11)&gt;0,"",IF(P11="Yes","Predictive or optimisation",IF(O11="No","Automation",IF(AND(Q11="Yes",R11="Yes",S11="Yes"),"Agent",IF(AND(Q11="No",R11="No"),"Retrieval","LLM-augmented workflow")))))</f>
      </c>
      <c r="U11" s="16"/>
      <c r="V11" s="20">
        <f>IF(U11="","",IF(U11="Automation","Power Automate, Logic Apps or code. No AI governance.",IF(U11="Predictive or optimisation","Fabric data science, Azure ML or a prebuilt Foundry model. Model governance, not agent governance.",IF(U11="Retrieval","SharePoint agent, Copilot Studio retrieval agent or classic RAG. Light governance.",IF(U11="LLM-augmented workflow","A flow with one AI action, or a scheduled prompt. Governance proportional to consequence.","Agent. Continue to Stage 2.")))))</f>
      </c>
      <c r="W11" s="20">
        <f>IF('Assurance and gate'!K11="","",'Assurance and gate'!K11)</f>
      </c>
      <c r="X11" s="20">
        <f>IF(IF('Technology direction'!D11="",'Technology direction'!C11,'Technology direction'!D11)="","",IF('Technology direction'!D11="",'Technology direction'!C11,'Technology direction'!D11))</f>
      </c>
      <c r="Y11" s="20">
        <f>IF('Technology direction'!H11="","",'Technology direction'!H11)</f>
      </c>
      <c r="Z11" s="20">
        <f>IF('Answers out'!K11="","",'Answers out'!K11)</f>
      </c>
      <c r="AA11" s="20">
        <f>IF('Answers out'!C11="","",'Answers out'!C11)</f>
      </c>
      <c r="AB11" s="21">
        <f>IF('Answers out'!N11="","",'Answers out'!N11)</f>
      </c>
    </row>
    <row r="12" ht="30" customHeight="1" spans="1:28" x14ac:dyDescent="0.25">
      <c r="A12" s="16"/>
      <c r="B12" s="16"/>
      <c r="C12" s="16"/>
      <c r="D12" s="16"/>
      <c r="E12" s="16"/>
      <c r="F12" s="16"/>
      <c r="G12" s="16"/>
      <c r="H12" s="17"/>
      <c r="I12" s="16"/>
      <c r="J12" s="18">
        <f>IF(Scoring!N12="","",ROUND(Scoring!N12/3,1))</f>
      </c>
      <c r="K12" s="18">
        <f>IF(Scoring!M12="","",ROUND(Scoring!M12/3,1))</f>
      </c>
      <c r="L12" s="18">
        <f>IF(Scoring!L12="","",ROUND(Scoring!L12/3,1))</f>
      </c>
      <c r="M12" s="19"/>
      <c r="N12" s="18">
        <f>IF(COUNT(J12:M12)&lt;4,"",SUM(J12:M12))</f>
      </c>
      <c r="O12" s="16"/>
      <c r="P12" s="16"/>
      <c r="Q12" s="16"/>
      <c r="R12" s="16"/>
      <c r="S12" s="16"/>
      <c r="T12" s="20">
        <f>IF(COUNTBLANK(O12:S12)&gt;0,"",IF(P12="Yes","Predictive or optimisation",IF(O12="No","Automation",IF(AND(Q12="Yes",R12="Yes",S12="Yes"),"Agent",IF(AND(Q12="No",R12="No"),"Retrieval","LLM-augmented workflow")))))</f>
      </c>
      <c r="U12" s="16"/>
      <c r="V12" s="20">
        <f>IF(U12="","",IF(U12="Automation","Power Automate, Logic Apps or code. No AI governance.",IF(U12="Predictive or optimisation","Fabric data science, Azure ML or a prebuilt Foundry model. Model governance, not agent governance.",IF(U12="Retrieval","SharePoint agent, Copilot Studio retrieval agent or classic RAG. Light governance.",IF(U12="LLM-augmented workflow","A flow with one AI action, or a scheduled prompt. Governance proportional to consequence.","Agent. Continue to Stage 2.")))))</f>
      </c>
      <c r="W12" s="20">
        <f>IF('Assurance and gate'!K12="","",'Assurance and gate'!K12)</f>
      </c>
      <c r="X12" s="20">
        <f>IF(IF('Technology direction'!D12="",'Technology direction'!C12,'Technology direction'!D12)="","",IF('Technology direction'!D12="",'Technology direction'!C12,'Technology direction'!D12))</f>
      </c>
      <c r="Y12" s="20">
        <f>IF('Technology direction'!H12="","",'Technology direction'!H12)</f>
      </c>
      <c r="Z12" s="20">
        <f>IF('Answers out'!K12="","",'Answers out'!K12)</f>
      </c>
      <c r="AA12" s="20">
        <f>IF('Answers out'!C12="","",'Answers out'!C12)</f>
      </c>
      <c r="AB12" s="21">
        <f>IF('Answers out'!N12="","",'Answers out'!N12)</f>
      </c>
    </row>
    <row r="13" ht="30" customHeight="1" spans="1:28" x14ac:dyDescent="0.25">
      <c r="A13" s="16"/>
      <c r="B13" s="16"/>
      <c r="C13" s="16"/>
      <c r="D13" s="16"/>
      <c r="E13" s="16"/>
      <c r="F13" s="16"/>
      <c r="G13" s="16"/>
      <c r="H13" s="17"/>
      <c r="I13" s="16"/>
      <c r="J13" s="18">
        <f>IF(Scoring!N13="","",ROUND(Scoring!N13/3,1))</f>
      </c>
      <c r="K13" s="18">
        <f>IF(Scoring!M13="","",ROUND(Scoring!M13/3,1))</f>
      </c>
      <c r="L13" s="18">
        <f>IF(Scoring!L13="","",ROUND(Scoring!L13/3,1))</f>
      </c>
      <c r="M13" s="19"/>
      <c r="N13" s="18">
        <f>IF(COUNT(J13:M13)&lt;4,"",SUM(J13:M13))</f>
      </c>
      <c r="O13" s="16"/>
      <c r="P13" s="16"/>
      <c r="Q13" s="16"/>
      <c r="R13" s="16"/>
      <c r="S13" s="16"/>
      <c r="T13" s="20">
        <f>IF(COUNTBLANK(O13:S13)&gt;0,"",IF(P13="Yes","Predictive or optimisation",IF(O13="No","Automation",IF(AND(Q13="Yes",R13="Yes",S13="Yes"),"Agent",IF(AND(Q13="No",R13="No"),"Retrieval","LLM-augmented workflow")))))</f>
      </c>
      <c r="U13" s="16"/>
      <c r="V13" s="20">
        <f>IF(U13="","",IF(U13="Automation","Power Automate, Logic Apps or code. No AI governance.",IF(U13="Predictive or optimisation","Fabric data science, Azure ML or a prebuilt Foundry model. Model governance, not agent governance.",IF(U13="Retrieval","SharePoint agent, Copilot Studio retrieval agent or classic RAG. Light governance.",IF(U13="LLM-augmented workflow","A flow with one AI action, or a scheduled prompt. Governance proportional to consequence.","Agent. Continue to Stage 2.")))))</f>
      </c>
      <c r="W13" s="20">
        <f>IF('Assurance and gate'!K13="","",'Assurance and gate'!K13)</f>
      </c>
      <c r="X13" s="20">
        <f>IF(IF('Technology direction'!D13="",'Technology direction'!C13,'Technology direction'!D13)="","",IF('Technology direction'!D13="",'Technology direction'!C13,'Technology direction'!D13))</f>
      </c>
      <c r="Y13" s="20">
        <f>IF('Technology direction'!H13="","",'Technology direction'!H13)</f>
      </c>
      <c r="Z13" s="20">
        <f>IF('Answers out'!K13="","",'Answers out'!K13)</f>
      </c>
      <c r="AA13" s="20">
        <f>IF('Answers out'!C13="","",'Answers out'!C13)</f>
      </c>
      <c r="AB13" s="21">
        <f>IF('Answers out'!N13="","",'Answers out'!N13)</f>
      </c>
    </row>
    <row r="14" ht="30" customHeight="1" spans="1:28" x14ac:dyDescent="0.25">
      <c r="A14" s="16"/>
      <c r="B14" s="16"/>
      <c r="C14" s="16"/>
      <c r="D14" s="16"/>
      <c r="E14" s="16"/>
      <c r="F14" s="16"/>
      <c r="G14" s="16"/>
      <c r="H14" s="17"/>
      <c r="I14" s="16"/>
      <c r="J14" s="18">
        <f>IF(Scoring!N14="","",ROUND(Scoring!N14/3,1))</f>
      </c>
      <c r="K14" s="18">
        <f>IF(Scoring!M14="","",ROUND(Scoring!M14/3,1))</f>
      </c>
      <c r="L14" s="18">
        <f>IF(Scoring!L14="","",ROUND(Scoring!L14/3,1))</f>
      </c>
      <c r="M14" s="19"/>
      <c r="N14" s="18">
        <f>IF(COUNT(J14:M14)&lt;4,"",SUM(J14:M14))</f>
      </c>
      <c r="O14" s="16"/>
      <c r="P14" s="16"/>
      <c r="Q14" s="16"/>
      <c r="R14" s="16"/>
      <c r="S14" s="16"/>
      <c r="T14" s="20">
        <f>IF(COUNTBLANK(O14:S14)&gt;0,"",IF(P14="Yes","Predictive or optimisation",IF(O14="No","Automation",IF(AND(Q14="Yes",R14="Yes",S14="Yes"),"Agent",IF(AND(Q14="No",R14="No"),"Retrieval","LLM-augmented workflow")))))</f>
      </c>
      <c r="U14" s="16"/>
      <c r="V14" s="20">
        <f>IF(U14="","",IF(U14="Automation","Power Automate, Logic Apps or code. No AI governance.",IF(U14="Predictive or optimisation","Fabric data science, Azure ML or a prebuilt Foundry model. Model governance, not agent governance.",IF(U14="Retrieval","SharePoint agent, Copilot Studio retrieval agent or classic RAG. Light governance.",IF(U14="LLM-augmented workflow","A flow with one AI action, or a scheduled prompt. Governance proportional to consequence.","Agent. Continue to Stage 2.")))))</f>
      </c>
      <c r="W14" s="20">
        <f>IF('Assurance and gate'!K14="","",'Assurance and gate'!K14)</f>
      </c>
      <c r="X14" s="20">
        <f>IF(IF('Technology direction'!D14="",'Technology direction'!C14,'Technology direction'!D14)="","",IF('Technology direction'!D14="",'Technology direction'!C14,'Technology direction'!D14))</f>
      </c>
      <c r="Y14" s="20">
        <f>IF('Technology direction'!H14="","",'Technology direction'!H14)</f>
      </c>
      <c r="Z14" s="20">
        <f>IF('Answers out'!K14="","",'Answers out'!K14)</f>
      </c>
      <c r="AA14" s="20">
        <f>IF('Answers out'!C14="","",'Answers out'!C14)</f>
      </c>
      <c r="AB14" s="21">
        <f>IF('Answers out'!N14="","",'Answers out'!N14)</f>
      </c>
    </row>
    <row r="15" ht="30" customHeight="1" spans="1:28" x14ac:dyDescent="0.25">
      <c r="A15" s="16"/>
      <c r="B15" s="16"/>
      <c r="C15" s="16"/>
      <c r="D15" s="16"/>
      <c r="E15" s="16"/>
      <c r="F15" s="16"/>
      <c r="G15" s="16"/>
      <c r="H15" s="17"/>
      <c r="I15" s="16"/>
      <c r="J15" s="18">
        <f>IF(Scoring!N15="","",ROUND(Scoring!N15/3,1))</f>
      </c>
      <c r="K15" s="18">
        <f>IF(Scoring!M15="","",ROUND(Scoring!M15/3,1))</f>
      </c>
      <c r="L15" s="18">
        <f>IF(Scoring!L15="","",ROUND(Scoring!L15/3,1))</f>
      </c>
      <c r="M15" s="19"/>
      <c r="N15" s="18">
        <f>IF(COUNT(J15:M15)&lt;4,"",SUM(J15:M15))</f>
      </c>
      <c r="O15" s="16"/>
      <c r="P15" s="16"/>
      <c r="Q15" s="16"/>
      <c r="R15" s="16"/>
      <c r="S15" s="16"/>
      <c r="T15" s="20">
        <f>IF(COUNTBLANK(O15:S15)&gt;0,"",IF(P15="Yes","Predictive or optimisation",IF(O15="No","Automation",IF(AND(Q15="Yes",R15="Yes",S15="Yes"),"Agent",IF(AND(Q15="No",R15="No"),"Retrieval","LLM-augmented workflow")))))</f>
      </c>
      <c r="U15" s="16"/>
      <c r="V15" s="20">
        <f>IF(U15="","",IF(U15="Automation","Power Automate, Logic Apps or code. No AI governance.",IF(U15="Predictive or optimisation","Fabric data science, Azure ML or a prebuilt Foundry model. Model governance, not agent governance.",IF(U15="Retrieval","SharePoint agent, Copilot Studio retrieval agent or classic RAG. Light governance.",IF(U15="LLM-augmented workflow","A flow with one AI action, or a scheduled prompt. Governance proportional to consequence.","Agent. Continue to Stage 2.")))))</f>
      </c>
      <c r="W15" s="20">
        <f>IF('Assurance and gate'!K15="","",'Assurance and gate'!K15)</f>
      </c>
      <c r="X15" s="20">
        <f>IF(IF('Technology direction'!D15="",'Technology direction'!C15,'Technology direction'!D15)="","",IF('Technology direction'!D15="",'Technology direction'!C15,'Technology direction'!D15))</f>
      </c>
      <c r="Y15" s="20">
        <f>IF('Technology direction'!H15="","",'Technology direction'!H15)</f>
      </c>
      <c r="Z15" s="20">
        <f>IF('Answers out'!K15="","",'Answers out'!K15)</f>
      </c>
      <c r="AA15" s="20">
        <f>IF('Answers out'!C15="","",'Answers out'!C15)</f>
      </c>
      <c r="AB15" s="21">
        <f>IF('Answers out'!N15="","",'Answers out'!N15)</f>
      </c>
    </row>
    <row r="16" ht="30" customHeight="1" spans="1:28" x14ac:dyDescent="0.25">
      <c r="A16" s="16"/>
      <c r="B16" s="16"/>
      <c r="C16" s="16"/>
      <c r="D16" s="16"/>
      <c r="E16" s="16"/>
      <c r="F16" s="16"/>
      <c r="G16" s="16"/>
      <c r="H16" s="17"/>
      <c r="I16" s="16"/>
      <c r="J16" s="18">
        <f>IF(Scoring!N16="","",ROUND(Scoring!N16/3,1))</f>
      </c>
      <c r="K16" s="18">
        <f>IF(Scoring!M16="","",ROUND(Scoring!M16/3,1))</f>
      </c>
      <c r="L16" s="18">
        <f>IF(Scoring!L16="","",ROUND(Scoring!L16/3,1))</f>
      </c>
      <c r="M16" s="19"/>
      <c r="N16" s="18">
        <f>IF(COUNT(J16:M16)&lt;4,"",SUM(J16:M16))</f>
      </c>
      <c r="O16" s="16"/>
      <c r="P16" s="16"/>
      <c r="Q16" s="16"/>
      <c r="R16" s="16"/>
      <c r="S16" s="16"/>
      <c r="T16" s="20">
        <f>IF(COUNTBLANK(O16:S16)&gt;0,"",IF(P16="Yes","Predictive or optimisation",IF(O16="No","Automation",IF(AND(Q16="Yes",R16="Yes",S16="Yes"),"Agent",IF(AND(Q16="No",R16="No"),"Retrieval","LLM-augmented workflow")))))</f>
      </c>
      <c r="U16" s="16"/>
      <c r="V16" s="20">
        <f>IF(U16="","",IF(U16="Automation","Power Automate, Logic Apps or code. No AI governance.",IF(U16="Predictive or optimisation","Fabric data science, Azure ML or a prebuilt Foundry model. Model governance, not agent governance.",IF(U16="Retrieval","SharePoint agent, Copilot Studio retrieval agent or classic RAG. Light governance.",IF(U16="LLM-augmented workflow","A flow with one AI action, or a scheduled prompt. Governance proportional to consequence.","Agent. Continue to Stage 2.")))))</f>
      </c>
      <c r="W16" s="20">
        <f>IF('Assurance and gate'!K16="","",'Assurance and gate'!K16)</f>
      </c>
      <c r="X16" s="20">
        <f>IF(IF('Technology direction'!D16="",'Technology direction'!C16,'Technology direction'!D16)="","",IF('Technology direction'!D16="",'Technology direction'!C16,'Technology direction'!D16))</f>
      </c>
      <c r="Y16" s="20">
        <f>IF('Technology direction'!H16="","",'Technology direction'!H16)</f>
      </c>
      <c r="Z16" s="20">
        <f>IF('Answers out'!K16="","",'Answers out'!K16)</f>
      </c>
      <c r="AA16" s="20">
        <f>IF('Answers out'!C16="","",'Answers out'!C16)</f>
      </c>
      <c r="AB16" s="21">
        <f>IF('Answers out'!N16="","",'Answers out'!N16)</f>
      </c>
    </row>
    <row r="17" ht="30" customHeight="1" spans="1:28" x14ac:dyDescent="0.25">
      <c r="A17" s="16"/>
      <c r="B17" s="16"/>
      <c r="C17" s="16"/>
      <c r="D17" s="16"/>
      <c r="E17" s="16"/>
      <c r="F17" s="16"/>
      <c r="G17" s="16"/>
      <c r="H17" s="17"/>
      <c r="I17" s="16"/>
      <c r="J17" s="18">
        <f>IF(Scoring!N17="","",ROUND(Scoring!N17/3,1))</f>
      </c>
      <c r="K17" s="18">
        <f>IF(Scoring!M17="","",ROUND(Scoring!M17/3,1))</f>
      </c>
      <c r="L17" s="18">
        <f>IF(Scoring!L17="","",ROUND(Scoring!L17/3,1))</f>
      </c>
      <c r="M17" s="19"/>
      <c r="N17" s="18">
        <f>IF(COUNT(J17:M17)&lt;4,"",SUM(J17:M17))</f>
      </c>
      <c r="O17" s="16"/>
      <c r="P17" s="16"/>
      <c r="Q17" s="16"/>
      <c r="R17" s="16"/>
      <c r="S17" s="16"/>
      <c r="T17" s="20">
        <f>IF(COUNTBLANK(O17:S17)&gt;0,"",IF(P17="Yes","Predictive or optimisation",IF(O17="No","Automation",IF(AND(Q17="Yes",R17="Yes",S17="Yes"),"Agent",IF(AND(Q17="No",R17="No"),"Retrieval","LLM-augmented workflow")))))</f>
      </c>
      <c r="U17" s="16"/>
      <c r="V17" s="20">
        <f>IF(U17="","",IF(U17="Automation","Power Automate, Logic Apps or code. No AI governance.",IF(U17="Predictive or optimisation","Fabric data science, Azure ML or a prebuilt Foundry model. Model governance, not agent governance.",IF(U17="Retrieval","SharePoint agent, Copilot Studio retrieval agent or classic RAG. Light governance.",IF(U17="LLM-augmented workflow","A flow with one AI action, or a scheduled prompt. Governance proportional to consequence.","Agent. Continue to Stage 2.")))))</f>
      </c>
      <c r="W17" s="20">
        <f>IF('Assurance and gate'!K17="","",'Assurance and gate'!K17)</f>
      </c>
      <c r="X17" s="20">
        <f>IF(IF('Technology direction'!D17="",'Technology direction'!C17,'Technology direction'!D17)="","",IF('Technology direction'!D17="",'Technology direction'!C17,'Technology direction'!D17))</f>
      </c>
      <c r="Y17" s="20">
        <f>IF('Technology direction'!H17="","",'Technology direction'!H17)</f>
      </c>
      <c r="Z17" s="20">
        <f>IF('Answers out'!K17="","",'Answers out'!K17)</f>
      </c>
      <c r="AA17" s="20">
        <f>IF('Answers out'!C17="","",'Answers out'!C17)</f>
      </c>
      <c r="AB17" s="21">
        <f>IF('Answers out'!N17="","",'Answers out'!N17)</f>
      </c>
    </row>
    <row r="18" ht="30" customHeight="1" spans="1:28" x14ac:dyDescent="0.25">
      <c r="A18" s="16"/>
      <c r="B18" s="16"/>
      <c r="C18" s="16"/>
      <c r="D18" s="16"/>
      <c r="E18" s="16"/>
      <c r="F18" s="16"/>
      <c r="G18" s="16"/>
      <c r="H18" s="17"/>
      <c r="I18" s="16"/>
      <c r="J18" s="18">
        <f>IF(Scoring!N18="","",ROUND(Scoring!N18/3,1))</f>
      </c>
      <c r="K18" s="18">
        <f>IF(Scoring!M18="","",ROUND(Scoring!M18/3,1))</f>
      </c>
      <c r="L18" s="18">
        <f>IF(Scoring!L18="","",ROUND(Scoring!L18/3,1))</f>
      </c>
      <c r="M18" s="19"/>
      <c r="N18" s="18">
        <f>IF(COUNT(J18:M18)&lt;4,"",SUM(J18:M18))</f>
      </c>
      <c r="O18" s="16"/>
      <c r="P18" s="16"/>
      <c r="Q18" s="16"/>
      <c r="R18" s="16"/>
      <c r="S18" s="16"/>
      <c r="T18" s="20">
        <f>IF(COUNTBLANK(O18:S18)&gt;0,"",IF(P18="Yes","Predictive or optimisation",IF(O18="No","Automation",IF(AND(Q18="Yes",R18="Yes",S18="Yes"),"Agent",IF(AND(Q18="No",R18="No"),"Retrieval","LLM-augmented workflow")))))</f>
      </c>
      <c r="U18" s="16"/>
      <c r="V18" s="20">
        <f>IF(U18="","",IF(U18="Automation","Power Automate, Logic Apps or code. No AI governance.",IF(U18="Predictive or optimisation","Fabric data science, Azure ML or a prebuilt Foundry model. Model governance, not agent governance.",IF(U18="Retrieval","SharePoint agent, Copilot Studio retrieval agent or classic RAG. Light governance.",IF(U18="LLM-augmented workflow","A flow with one AI action, or a scheduled prompt. Governance proportional to consequence.","Agent. Continue to Stage 2.")))))</f>
      </c>
      <c r="W18" s="20">
        <f>IF('Assurance and gate'!K18="","",'Assurance and gate'!K18)</f>
      </c>
      <c r="X18" s="20">
        <f>IF(IF('Technology direction'!D18="",'Technology direction'!C18,'Technology direction'!D18)="","",IF('Technology direction'!D18="",'Technology direction'!C18,'Technology direction'!D18))</f>
      </c>
      <c r="Y18" s="20">
        <f>IF('Technology direction'!H18="","",'Technology direction'!H18)</f>
      </c>
      <c r="Z18" s="20">
        <f>IF('Answers out'!K18="","",'Answers out'!K18)</f>
      </c>
      <c r="AA18" s="20">
        <f>IF('Answers out'!C18="","",'Answers out'!C18)</f>
      </c>
      <c r="AB18" s="21">
        <f>IF('Answers out'!N18="","",'Answers out'!N18)</f>
      </c>
    </row>
    <row r="19" ht="30" customHeight="1" spans="1:28" x14ac:dyDescent="0.25">
      <c r="A19" s="16"/>
      <c r="B19" s="16"/>
      <c r="C19" s="16"/>
      <c r="D19" s="16"/>
      <c r="E19" s="16"/>
      <c r="F19" s="16"/>
      <c r="G19" s="16"/>
      <c r="H19" s="17"/>
      <c r="I19" s="16"/>
      <c r="J19" s="18">
        <f>IF(Scoring!N19="","",ROUND(Scoring!N19/3,1))</f>
      </c>
      <c r="K19" s="18">
        <f>IF(Scoring!M19="","",ROUND(Scoring!M19/3,1))</f>
      </c>
      <c r="L19" s="18">
        <f>IF(Scoring!L19="","",ROUND(Scoring!L19/3,1))</f>
      </c>
      <c r="M19" s="19"/>
      <c r="N19" s="18">
        <f>IF(COUNT(J19:M19)&lt;4,"",SUM(J19:M19))</f>
      </c>
      <c r="O19" s="16"/>
      <c r="P19" s="16"/>
      <c r="Q19" s="16"/>
      <c r="R19" s="16"/>
      <c r="S19" s="16"/>
      <c r="T19" s="20">
        <f>IF(COUNTBLANK(O19:S19)&gt;0,"",IF(P19="Yes","Predictive or optimisation",IF(O19="No","Automation",IF(AND(Q19="Yes",R19="Yes",S19="Yes"),"Agent",IF(AND(Q19="No",R19="No"),"Retrieval","LLM-augmented workflow")))))</f>
      </c>
      <c r="U19" s="16"/>
      <c r="V19" s="20">
        <f>IF(U19="","",IF(U19="Automation","Power Automate, Logic Apps or code. No AI governance.",IF(U19="Predictive or optimisation","Fabric data science, Azure ML or a prebuilt Foundry model. Model governance, not agent governance.",IF(U19="Retrieval","SharePoint agent, Copilot Studio retrieval agent or classic RAG. Light governance.",IF(U19="LLM-augmented workflow","A flow with one AI action, or a scheduled prompt. Governance proportional to consequence.","Agent. Continue to Stage 2.")))))</f>
      </c>
      <c r="W19" s="20">
        <f>IF('Assurance and gate'!K19="","",'Assurance and gate'!K19)</f>
      </c>
      <c r="X19" s="20">
        <f>IF(IF('Technology direction'!D19="",'Technology direction'!C19,'Technology direction'!D19)="","",IF('Technology direction'!D19="",'Technology direction'!C19,'Technology direction'!D19))</f>
      </c>
      <c r="Y19" s="20">
        <f>IF('Technology direction'!H19="","",'Technology direction'!H19)</f>
      </c>
      <c r="Z19" s="20">
        <f>IF('Answers out'!K19="","",'Answers out'!K19)</f>
      </c>
      <c r="AA19" s="20">
        <f>IF('Answers out'!C19="","",'Answers out'!C19)</f>
      </c>
      <c r="AB19" s="21">
        <f>IF('Answers out'!N19="","",'Answers out'!N19)</f>
      </c>
    </row>
    <row r="20" ht="30" customHeight="1" spans="1:28" x14ac:dyDescent="0.25">
      <c r="A20" s="16"/>
      <c r="B20" s="16"/>
      <c r="C20" s="16"/>
      <c r="D20" s="16"/>
      <c r="E20" s="16"/>
      <c r="F20" s="16"/>
      <c r="G20" s="16"/>
      <c r="H20" s="17"/>
      <c r="I20" s="16"/>
      <c r="J20" s="18">
        <f>IF(Scoring!N20="","",ROUND(Scoring!N20/3,1))</f>
      </c>
      <c r="K20" s="18">
        <f>IF(Scoring!M20="","",ROUND(Scoring!M20/3,1))</f>
      </c>
      <c r="L20" s="18">
        <f>IF(Scoring!L20="","",ROUND(Scoring!L20/3,1))</f>
      </c>
      <c r="M20" s="19"/>
      <c r="N20" s="18">
        <f>IF(COUNT(J20:M20)&lt;4,"",SUM(J20:M20))</f>
      </c>
      <c r="O20" s="16"/>
      <c r="P20" s="16"/>
      <c r="Q20" s="16"/>
      <c r="R20" s="16"/>
      <c r="S20" s="16"/>
      <c r="T20" s="20">
        <f>IF(COUNTBLANK(O20:S20)&gt;0,"",IF(P20="Yes","Predictive or optimisation",IF(O20="No","Automation",IF(AND(Q20="Yes",R20="Yes",S20="Yes"),"Agent",IF(AND(Q20="No",R20="No"),"Retrieval","LLM-augmented workflow")))))</f>
      </c>
      <c r="U20" s="16"/>
      <c r="V20" s="20">
        <f>IF(U20="","",IF(U20="Automation","Power Automate, Logic Apps or code. No AI governance.",IF(U20="Predictive or optimisation","Fabric data science, Azure ML or a prebuilt Foundry model. Model governance, not agent governance.",IF(U20="Retrieval","SharePoint agent, Copilot Studio retrieval agent or classic RAG. Light governance.",IF(U20="LLM-augmented workflow","A flow with one AI action, or a scheduled prompt. Governance proportional to consequence.","Agent. Continue to Stage 2.")))))</f>
      </c>
      <c r="W20" s="20">
        <f>IF('Assurance and gate'!K20="","",'Assurance and gate'!K20)</f>
      </c>
      <c r="X20" s="20">
        <f>IF(IF('Technology direction'!D20="",'Technology direction'!C20,'Technology direction'!D20)="","",IF('Technology direction'!D20="",'Technology direction'!C20,'Technology direction'!D20))</f>
      </c>
      <c r="Y20" s="20">
        <f>IF('Technology direction'!H20="","",'Technology direction'!H20)</f>
      </c>
      <c r="Z20" s="20">
        <f>IF('Answers out'!K20="","",'Answers out'!K20)</f>
      </c>
      <c r="AA20" s="20">
        <f>IF('Answers out'!C20="","",'Answers out'!C20)</f>
      </c>
      <c r="AB20" s="21">
        <f>IF('Answers out'!N20="","",'Answers out'!N20)</f>
      </c>
    </row>
    <row r="21" ht="30" customHeight="1" spans="1:28" x14ac:dyDescent="0.25">
      <c r="A21" s="16"/>
      <c r="B21" s="16"/>
      <c r="C21" s="16"/>
      <c r="D21" s="16"/>
      <c r="E21" s="16"/>
      <c r="F21" s="16"/>
      <c r="G21" s="16"/>
      <c r="H21" s="17"/>
      <c r="I21" s="16"/>
      <c r="J21" s="18">
        <f>IF(Scoring!N21="","",ROUND(Scoring!N21/3,1))</f>
      </c>
      <c r="K21" s="18">
        <f>IF(Scoring!M21="","",ROUND(Scoring!M21/3,1))</f>
      </c>
      <c r="L21" s="18">
        <f>IF(Scoring!L21="","",ROUND(Scoring!L21/3,1))</f>
      </c>
      <c r="M21" s="19"/>
      <c r="N21" s="18">
        <f>IF(COUNT(J21:M21)&lt;4,"",SUM(J21:M21))</f>
      </c>
      <c r="O21" s="16"/>
      <c r="P21" s="16"/>
      <c r="Q21" s="16"/>
      <c r="R21" s="16"/>
      <c r="S21" s="16"/>
      <c r="T21" s="20">
        <f>IF(COUNTBLANK(O21:S21)&gt;0,"",IF(P21="Yes","Predictive or optimisation",IF(O21="No","Automation",IF(AND(Q21="Yes",R21="Yes",S21="Yes"),"Agent",IF(AND(Q21="No",R21="No"),"Retrieval","LLM-augmented workflow")))))</f>
      </c>
      <c r="U21" s="16"/>
      <c r="V21" s="20">
        <f>IF(U21="","",IF(U21="Automation","Power Automate, Logic Apps or code. No AI governance.",IF(U21="Predictive or optimisation","Fabric data science, Azure ML or a prebuilt Foundry model. Model governance, not agent governance.",IF(U21="Retrieval","SharePoint agent, Copilot Studio retrieval agent or classic RAG. Light governance.",IF(U21="LLM-augmented workflow","A flow with one AI action, or a scheduled prompt. Governance proportional to consequence.","Agent. Continue to Stage 2.")))))</f>
      </c>
      <c r="W21" s="20">
        <f>IF('Assurance and gate'!K21="","",'Assurance and gate'!K21)</f>
      </c>
      <c r="X21" s="20">
        <f>IF(IF('Technology direction'!D21="",'Technology direction'!C21,'Technology direction'!D21)="","",IF('Technology direction'!D21="",'Technology direction'!C21,'Technology direction'!D21))</f>
      </c>
      <c r="Y21" s="20">
        <f>IF('Technology direction'!H21="","",'Technology direction'!H21)</f>
      </c>
      <c r="Z21" s="20">
        <f>IF('Answers out'!K21="","",'Answers out'!K21)</f>
      </c>
      <c r="AA21" s="20">
        <f>IF('Answers out'!C21="","",'Answers out'!C21)</f>
      </c>
      <c r="AB21" s="21">
        <f>IF('Answers out'!N21="","",'Answers out'!N21)</f>
      </c>
    </row>
    <row r="22" ht="30" customHeight="1" spans="1:28" x14ac:dyDescent="0.25">
      <c r="A22" s="16"/>
      <c r="B22" s="16"/>
      <c r="C22" s="16"/>
      <c r="D22" s="16"/>
      <c r="E22" s="16"/>
      <c r="F22" s="16"/>
      <c r="G22" s="16"/>
      <c r="H22" s="17"/>
      <c r="I22" s="16"/>
      <c r="J22" s="18">
        <f>IF(Scoring!N22="","",ROUND(Scoring!N22/3,1))</f>
      </c>
      <c r="K22" s="18">
        <f>IF(Scoring!M22="","",ROUND(Scoring!M22/3,1))</f>
      </c>
      <c r="L22" s="18">
        <f>IF(Scoring!L22="","",ROUND(Scoring!L22/3,1))</f>
      </c>
      <c r="M22" s="19"/>
      <c r="N22" s="18">
        <f>IF(COUNT(J22:M22)&lt;4,"",SUM(J22:M22))</f>
      </c>
      <c r="O22" s="16"/>
      <c r="P22" s="16"/>
      <c r="Q22" s="16"/>
      <c r="R22" s="16"/>
      <c r="S22" s="16"/>
      <c r="T22" s="20">
        <f>IF(COUNTBLANK(O22:S22)&gt;0,"",IF(P22="Yes","Predictive or optimisation",IF(O22="No","Automation",IF(AND(Q22="Yes",R22="Yes",S22="Yes"),"Agent",IF(AND(Q22="No",R22="No"),"Retrieval","LLM-augmented workflow")))))</f>
      </c>
      <c r="U22" s="16"/>
      <c r="V22" s="20">
        <f>IF(U22="","",IF(U22="Automation","Power Automate, Logic Apps or code. No AI governance.",IF(U22="Predictive or optimisation","Fabric data science, Azure ML or a prebuilt Foundry model. Model governance, not agent governance.",IF(U22="Retrieval","SharePoint agent, Copilot Studio retrieval agent or classic RAG. Light governance.",IF(U22="LLM-augmented workflow","A flow with one AI action, or a scheduled prompt. Governance proportional to consequence.","Agent. Continue to Stage 2.")))))</f>
      </c>
      <c r="W22" s="20">
        <f>IF('Assurance and gate'!K22="","",'Assurance and gate'!K22)</f>
      </c>
      <c r="X22" s="20">
        <f>IF(IF('Technology direction'!D22="",'Technology direction'!C22,'Technology direction'!D22)="","",IF('Technology direction'!D22="",'Technology direction'!C22,'Technology direction'!D22))</f>
      </c>
      <c r="Y22" s="20">
        <f>IF('Technology direction'!H22="","",'Technology direction'!H22)</f>
      </c>
      <c r="Z22" s="20">
        <f>IF('Answers out'!K22="","",'Answers out'!K22)</f>
      </c>
      <c r="AA22" s="20">
        <f>IF('Answers out'!C22="","",'Answers out'!C22)</f>
      </c>
      <c r="AB22" s="21">
        <f>IF('Answers out'!N22="","",'Answers out'!N22)</f>
      </c>
    </row>
    <row r="23" ht="30" customHeight="1" spans="1:28" x14ac:dyDescent="0.25">
      <c r="A23" s="16"/>
      <c r="B23" s="16"/>
      <c r="C23" s="16"/>
      <c r="D23" s="16"/>
      <c r="E23" s="16"/>
      <c r="F23" s="16"/>
      <c r="G23" s="16"/>
      <c r="H23" s="17"/>
      <c r="I23" s="16"/>
      <c r="J23" s="18">
        <f>IF(Scoring!N23="","",ROUND(Scoring!N23/3,1))</f>
      </c>
      <c r="K23" s="18">
        <f>IF(Scoring!M23="","",ROUND(Scoring!M23/3,1))</f>
      </c>
      <c r="L23" s="18">
        <f>IF(Scoring!L23="","",ROUND(Scoring!L23/3,1))</f>
      </c>
      <c r="M23" s="19"/>
      <c r="N23" s="18">
        <f>IF(COUNT(J23:M23)&lt;4,"",SUM(J23:M23))</f>
      </c>
      <c r="O23" s="16"/>
      <c r="P23" s="16"/>
      <c r="Q23" s="16"/>
      <c r="R23" s="16"/>
      <c r="S23" s="16"/>
      <c r="T23" s="20">
        <f>IF(COUNTBLANK(O23:S23)&gt;0,"",IF(P23="Yes","Predictive or optimisation",IF(O23="No","Automation",IF(AND(Q23="Yes",R23="Yes",S23="Yes"),"Agent",IF(AND(Q23="No",R23="No"),"Retrieval","LLM-augmented workflow")))))</f>
      </c>
      <c r="U23" s="16"/>
      <c r="V23" s="20">
        <f>IF(U23="","",IF(U23="Automation","Power Automate, Logic Apps or code. No AI governance.",IF(U23="Predictive or optimisation","Fabric data science, Azure ML or a prebuilt Foundry model. Model governance, not agent governance.",IF(U23="Retrieval","SharePoint agent, Copilot Studio retrieval agent or classic RAG. Light governance.",IF(U23="LLM-augmented workflow","A flow with one AI action, or a scheduled prompt. Governance proportional to consequence.","Agent. Continue to Stage 2.")))))</f>
      </c>
      <c r="W23" s="20">
        <f>IF('Assurance and gate'!K23="","",'Assurance and gate'!K23)</f>
      </c>
      <c r="X23" s="20">
        <f>IF(IF('Technology direction'!D23="",'Technology direction'!C23,'Technology direction'!D23)="","",IF('Technology direction'!D23="",'Technology direction'!C23,'Technology direction'!D23))</f>
      </c>
      <c r="Y23" s="20">
        <f>IF('Technology direction'!H23="","",'Technology direction'!H23)</f>
      </c>
      <c r="Z23" s="20">
        <f>IF('Answers out'!K23="","",'Answers out'!K23)</f>
      </c>
      <c r="AA23" s="20">
        <f>IF('Answers out'!C23="","",'Answers out'!C23)</f>
      </c>
      <c r="AB23" s="21">
        <f>IF('Answers out'!N23="","",'Answers out'!N23)</f>
      </c>
    </row>
    <row r="24" ht="30" customHeight="1" spans="1:28" x14ac:dyDescent="0.25">
      <c r="A24" s="16"/>
      <c r="B24" s="16"/>
      <c r="C24" s="16"/>
      <c r="D24" s="16"/>
      <c r="E24" s="16"/>
      <c r="F24" s="16"/>
      <c r="G24" s="16"/>
      <c r="H24" s="17"/>
      <c r="I24" s="16"/>
      <c r="J24" s="18">
        <f>IF(Scoring!N24="","",ROUND(Scoring!N24/3,1))</f>
      </c>
      <c r="K24" s="18">
        <f>IF(Scoring!M24="","",ROUND(Scoring!M24/3,1))</f>
      </c>
      <c r="L24" s="18">
        <f>IF(Scoring!L24="","",ROUND(Scoring!L24/3,1))</f>
      </c>
      <c r="M24" s="19"/>
      <c r="N24" s="18">
        <f>IF(COUNT(J24:M24)&lt;4,"",SUM(J24:M24))</f>
      </c>
      <c r="O24" s="16"/>
      <c r="P24" s="16"/>
      <c r="Q24" s="16"/>
      <c r="R24" s="16"/>
      <c r="S24" s="16"/>
      <c r="T24" s="20">
        <f>IF(COUNTBLANK(O24:S24)&gt;0,"",IF(P24="Yes","Predictive or optimisation",IF(O24="No","Automation",IF(AND(Q24="Yes",R24="Yes",S24="Yes"),"Agent",IF(AND(Q24="No",R24="No"),"Retrieval","LLM-augmented workflow")))))</f>
      </c>
      <c r="U24" s="16"/>
      <c r="V24" s="20">
        <f>IF(U24="","",IF(U24="Automation","Power Automate, Logic Apps or code. No AI governance.",IF(U24="Predictive or optimisation","Fabric data science, Azure ML or a prebuilt Foundry model. Model governance, not agent governance.",IF(U24="Retrieval","SharePoint agent, Copilot Studio retrieval agent or classic RAG. Light governance.",IF(U24="LLM-augmented workflow","A flow with one AI action, or a scheduled prompt. Governance proportional to consequence.","Agent. Continue to Stage 2.")))))</f>
      </c>
      <c r="W24" s="20">
        <f>IF('Assurance and gate'!K24="","",'Assurance and gate'!K24)</f>
      </c>
      <c r="X24" s="20">
        <f>IF(IF('Technology direction'!D24="",'Technology direction'!C24,'Technology direction'!D24)="","",IF('Technology direction'!D24="",'Technology direction'!C24,'Technology direction'!D24))</f>
      </c>
      <c r="Y24" s="20">
        <f>IF('Technology direction'!H24="","",'Technology direction'!H24)</f>
      </c>
      <c r="Z24" s="20">
        <f>IF('Answers out'!K24="","",'Answers out'!K24)</f>
      </c>
      <c r="AA24" s="20">
        <f>IF('Answers out'!C24="","",'Answers out'!C24)</f>
      </c>
      <c r="AB24" s="21">
        <f>IF('Answers out'!N24="","",'Answers out'!N24)</f>
      </c>
    </row>
    <row r="25" ht="30" customHeight="1" spans="1:28" x14ac:dyDescent="0.25">
      <c r="A25" s="16"/>
      <c r="B25" s="16"/>
      <c r="C25" s="16"/>
      <c r="D25" s="16"/>
      <c r="E25" s="16"/>
      <c r="F25" s="16"/>
      <c r="G25" s="16"/>
      <c r="H25" s="17"/>
      <c r="I25" s="16"/>
      <c r="J25" s="18">
        <f>IF(Scoring!N25="","",ROUND(Scoring!N25/3,1))</f>
      </c>
      <c r="K25" s="18">
        <f>IF(Scoring!M25="","",ROUND(Scoring!M25/3,1))</f>
      </c>
      <c r="L25" s="18">
        <f>IF(Scoring!L25="","",ROUND(Scoring!L25/3,1))</f>
      </c>
      <c r="M25" s="19"/>
      <c r="N25" s="18">
        <f>IF(COUNT(J25:M25)&lt;4,"",SUM(J25:M25))</f>
      </c>
      <c r="O25" s="16"/>
      <c r="P25" s="16"/>
      <c r="Q25" s="16"/>
      <c r="R25" s="16"/>
      <c r="S25" s="16"/>
      <c r="T25" s="20">
        <f>IF(COUNTBLANK(O25:S25)&gt;0,"",IF(P25="Yes","Predictive or optimisation",IF(O25="No","Automation",IF(AND(Q25="Yes",R25="Yes",S25="Yes"),"Agent",IF(AND(Q25="No",R25="No"),"Retrieval","LLM-augmented workflow")))))</f>
      </c>
      <c r="U25" s="16"/>
      <c r="V25" s="20">
        <f>IF(U25="","",IF(U25="Automation","Power Automate, Logic Apps or code. No AI governance.",IF(U25="Predictive or optimisation","Fabric data science, Azure ML or a prebuilt Foundry model. Model governance, not agent governance.",IF(U25="Retrieval","SharePoint agent, Copilot Studio retrieval agent or classic RAG. Light governance.",IF(U25="LLM-augmented workflow","A flow with one AI action, or a scheduled prompt. Governance proportional to consequence.","Agent. Continue to Stage 2.")))))</f>
      </c>
      <c r="W25" s="20">
        <f>IF('Assurance and gate'!K25="","",'Assurance and gate'!K25)</f>
      </c>
      <c r="X25" s="20">
        <f>IF(IF('Technology direction'!D25="",'Technology direction'!C25,'Technology direction'!D25)="","",IF('Technology direction'!D25="",'Technology direction'!C25,'Technology direction'!D25))</f>
      </c>
      <c r="Y25" s="20">
        <f>IF('Technology direction'!H25="","",'Technology direction'!H25)</f>
      </c>
      <c r="Z25" s="20">
        <f>IF('Answers out'!K25="","",'Answers out'!K25)</f>
      </c>
      <c r="AA25" s="20">
        <f>IF('Answers out'!C25="","",'Answers out'!C25)</f>
      </c>
      <c r="AB25" s="21">
        <f>IF('Answers out'!N25="","",'Answers out'!N25)</f>
      </c>
    </row>
    <row r="26" ht="30" customHeight="1" spans="1:28" x14ac:dyDescent="0.25">
      <c r="A26" s="16"/>
      <c r="B26" s="16"/>
      <c r="C26" s="16"/>
      <c r="D26" s="16"/>
      <c r="E26" s="16"/>
      <c r="F26" s="16"/>
      <c r="G26" s="16"/>
      <c r="H26" s="17"/>
      <c r="I26" s="16"/>
      <c r="J26" s="18">
        <f>IF(Scoring!N26="","",ROUND(Scoring!N26/3,1))</f>
      </c>
      <c r="K26" s="18">
        <f>IF(Scoring!M26="","",ROUND(Scoring!M26/3,1))</f>
      </c>
      <c r="L26" s="18">
        <f>IF(Scoring!L26="","",ROUND(Scoring!L26/3,1))</f>
      </c>
      <c r="M26" s="19"/>
      <c r="N26" s="18">
        <f>IF(COUNT(J26:M26)&lt;4,"",SUM(J26:M26))</f>
      </c>
      <c r="O26" s="16"/>
      <c r="P26" s="16"/>
      <c r="Q26" s="16"/>
      <c r="R26" s="16"/>
      <c r="S26" s="16"/>
      <c r="T26" s="20">
        <f>IF(COUNTBLANK(O26:S26)&gt;0,"",IF(P26="Yes","Predictive or optimisation",IF(O26="No","Automation",IF(AND(Q26="Yes",R26="Yes",S26="Yes"),"Agent",IF(AND(Q26="No",R26="No"),"Retrieval","LLM-augmented workflow")))))</f>
      </c>
      <c r="U26" s="16"/>
      <c r="V26" s="20">
        <f>IF(U26="","",IF(U26="Automation","Power Automate, Logic Apps or code. No AI governance.",IF(U26="Predictive or optimisation","Fabric data science, Azure ML or a prebuilt Foundry model. Model governance, not agent governance.",IF(U26="Retrieval","SharePoint agent, Copilot Studio retrieval agent or classic RAG. Light governance.",IF(U26="LLM-augmented workflow","A flow with one AI action, or a scheduled prompt. Governance proportional to consequence.","Agent. Continue to Stage 2.")))))</f>
      </c>
      <c r="W26" s="20">
        <f>IF('Assurance and gate'!K26="","",'Assurance and gate'!K26)</f>
      </c>
      <c r="X26" s="20">
        <f>IF(IF('Technology direction'!D26="",'Technology direction'!C26,'Technology direction'!D26)="","",IF('Technology direction'!D26="",'Technology direction'!C26,'Technology direction'!D26))</f>
      </c>
      <c r="Y26" s="20">
        <f>IF('Technology direction'!H26="","",'Technology direction'!H26)</f>
      </c>
      <c r="Z26" s="20">
        <f>IF('Answers out'!K26="","",'Answers out'!K26)</f>
      </c>
      <c r="AA26" s="20">
        <f>IF('Answers out'!C26="","",'Answers out'!C26)</f>
      </c>
      <c r="AB26" s="21">
        <f>IF('Answers out'!N26="","",'Answers out'!N26)</f>
      </c>
    </row>
    <row r="27" ht="30" customHeight="1" spans="1:28" x14ac:dyDescent="0.25">
      <c r="A27" s="16"/>
      <c r="B27" s="16"/>
      <c r="C27" s="16"/>
      <c r="D27" s="16"/>
      <c r="E27" s="16"/>
      <c r="F27" s="16"/>
      <c r="G27" s="16"/>
      <c r="H27" s="17"/>
      <c r="I27" s="16"/>
      <c r="J27" s="18">
        <f>IF(Scoring!N27="","",ROUND(Scoring!N27/3,1))</f>
      </c>
      <c r="K27" s="18">
        <f>IF(Scoring!M27="","",ROUND(Scoring!M27/3,1))</f>
      </c>
      <c r="L27" s="18">
        <f>IF(Scoring!L27="","",ROUND(Scoring!L27/3,1))</f>
      </c>
      <c r="M27" s="19"/>
      <c r="N27" s="18">
        <f>IF(COUNT(J27:M27)&lt;4,"",SUM(J27:M27))</f>
      </c>
      <c r="O27" s="16"/>
      <c r="P27" s="16"/>
      <c r="Q27" s="16"/>
      <c r="R27" s="16"/>
      <c r="S27" s="16"/>
      <c r="T27" s="20">
        <f>IF(COUNTBLANK(O27:S27)&gt;0,"",IF(P27="Yes","Predictive or optimisation",IF(O27="No","Automation",IF(AND(Q27="Yes",R27="Yes",S27="Yes"),"Agent",IF(AND(Q27="No",R27="No"),"Retrieval","LLM-augmented workflow")))))</f>
      </c>
      <c r="U27" s="16"/>
      <c r="V27" s="20">
        <f>IF(U27="","",IF(U27="Automation","Power Automate, Logic Apps or code. No AI governance.",IF(U27="Predictive or optimisation","Fabric data science, Azure ML or a prebuilt Foundry model. Model governance, not agent governance.",IF(U27="Retrieval","SharePoint agent, Copilot Studio retrieval agent or classic RAG. Light governance.",IF(U27="LLM-augmented workflow","A flow with one AI action, or a scheduled prompt. Governance proportional to consequence.","Agent. Continue to Stage 2.")))))</f>
      </c>
      <c r="W27" s="20">
        <f>IF('Assurance and gate'!K27="","",'Assurance and gate'!K27)</f>
      </c>
      <c r="X27" s="20">
        <f>IF(IF('Technology direction'!D27="",'Technology direction'!C27,'Technology direction'!D27)="","",IF('Technology direction'!D27="",'Technology direction'!C27,'Technology direction'!D27))</f>
      </c>
      <c r="Y27" s="20">
        <f>IF('Technology direction'!H27="","",'Technology direction'!H27)</f>
      </c>
      <c r="Z27" s="20">
        <f>IF('Answers out'!K27="","",'Answers out'!K27)</f>
      </c>
      <c r="AA27" s="20">
        <f>IF('Answers out'!C27="","",'Answers out'!C27)</f>
      </c>
      <c r="AB27" s="21">
        <f>IF('Answers out'!N27="","",'Answers out'!N27)</f>
      </c>
    </row>
    <row r="28" ht="30" customHeight="1" spans="1:28" x14ac:dyDescent="0.25">
      <c r="A28" s="16"/>
      <c r="B28" s="16"/>
      <c r="C28" s="16"/>
      <c r="D28" s="16"/>
      <c r="E28" s="16"/>
      <c r="F28" s="16"/>
      <c r="G28" s="16"/>
      <c r="H28" s="17"/>
      <c r="I28" s="16"/>
      <c r="J28" s="18">
        <f>IF(Scoring!N28="","",ROUND(Scoring!N28/3,1))</f>
      </c>
      <c r="K28" s="18">
        <f>IF(Scoring!M28="","",ROUND(Scoring!M28/3,1))</f>
      </c>
      <c r="L28" s="18">
        <f>IF(Scoring!L28="","",ROUND(Scoring!L28/3,1))</f>
      </c>
      <c r="M28" s="19"/>
      <c r="N28" s="18">
        <f>IF(COUNT(J28:M28)&lt;4,"",SUM(J28:M28))</f>
      </c>
      <c r="O28" s="16"/>
      <c r="P28" s="16"/>
      <c r="Q28" s="16"/>
      <c r="R28" s="16"/>
      <c r="S28" s="16"/>
      <c r="T28" s="20">
        <f>IF(COUNTBLANK(O28:S28)&gt;0,"",IF(P28="Yes","Predictive or optimisation",IF(O28="No","Automation",IF(AND(Q28="Yes",R28="Yes",S28="Yes"),"Agent",IF(AND(Q28="No",R28="No"),"Retrieval","LLM-augmented workflow")))))</f>
      </c>
      <c r="U28" s="16"/>
      <c r="V28" s="20">
        <f>IF(U28="","",IF(U28="Automation","Power Automate, Logic Apps or code. No AI governance.",IF(U28="Predictive or optimisation","Fabric data science, Azure ML or a prebuilt Foundry model. Model governance, not agent governance.",IF(U28="Retrieval","SharePoint agent, Copilot Studio retrieval agent or classic RAG. Light governance.",IF(U28="LLM-augmented workflow","A flow with one AI action, or a scheduled prompt. Governance proportional to consequence.","Agent. Continue to Stage 2.")))))</f>
      </c>
      <c r="W28" s="20">
        <f>IF('Assurance and gate'!K28="","",'Assurance and gate'!K28)</f>
      </c>
      <c r="X28" s="20">
        <f>IF(IF('Technology direction'!D28="",'Technology direction'!C28,'Technology direction'!D28)="","",IF('Technology direction'!D28="",'Technology direction'!C28,'Technology direction'!D28))</f>
      </c>
      <c r="Y28" s="20">
        <f>IF('Technology direction'!H28="","",'Technology direction'!H28)</f>
      </c>
      <c r="Z28" s="20">
        <f>IF('Answers out'!K28="","",'Answers out'!K28)</f>
      </c>
      <c r="AA28" s="20">
        <f>IF('Answers out'!C28="","",'Answers out'!C28)</f>
      </c>
      <c r="AB28" s="21">
        <f>IF('Answers out'!N28="","",'Answers out'!N28)</f>
      </c>
    </row>
    <row r="29" ht="30" customHeight="1" spans="1:28" x14ac:dyDescent="0.25">
      <c r="A29" s="16"/>
      <c r="B29" s="16"/>
      <c r="C29" s="16"/>
      <c r="D29" s="16"/>
      <c r="E29" s="16"/>
      <c r="F29" s="16"/>
      <c r="G29" s="16"/>
      <c r="H29" s="17"/>
      <c r="I29" s="16"/>
      <c r="J29" s="18">
        <f>IF(Scoring!N29="","",ROUND(Scoring!N29/3,1))</f>
      </c>
      <c r="K29" s="18">
        <f>IF(Scoring!M29="","",ROUND(Scoring!M29/3,1))</f>
      </c>
      <c r="L29" s="18">
        <f>IF(Scoring!L29="","",ROUND(Scoring!L29/3,1))</f>
      </c>
      <c r="M29" s="19"/>
      <c r="N29" s="18">
        <f>IF(COUNT(J29:M29)&lt;4,"",SUM(J29:M29))</f>
      </c>
      <c r="O29" s="16"/>
      <c r="P29" s="16"/>
      <c r="Q29" s="16"/>
      <c r="R29" s="16"/>
      <c r="S29" s="16"/>
      <c r="T29" s="20">
        <f>IF(COUNTBLANK(O29:S29)&gt;0,"",IF(P29="Yes","Predictive or optimisation",IF(O29="No","Automation",IF(AND(Q29="Yes",R29="Yes",S29="Yes"),"Agent",IF(AND(Q29="No",R29="No"),"Retrieval","LLM-augmented workflow")))))</f>
      </c>
      <c r="U29" s="16"/>
      <c r="V29" s="20">
        <f>IF(U29="","",IF(U29="Automation","Power Automate, Logic Apps or code. No AI governance.",IF(U29="Predictive or optimisation","Fabric data science, Azure ML or a prebuilt Foundry model. Model governance, not agent governance.",IF(U29="Retrieval","SharePoint agent, Copilot Studio retrieval agent or classic RAG. Light governance.",IF(U29="LLM-augmented workflow","A flow with one AI action, or a scheduled prompt. Governance proportional to consequence.","Agent. Continue to Stage 2.")))))</f>
      </c>
      <c r="W29" s="20">
        <f>IF('Assurance and gate'!K29="","",'Assurance and gate'!K29)</f>
      </c>
      <c r="X29" s="20">
        <f>IF(IF('Technology direction'!D29="",'Technology direction'!C29,'Technology direction'!D29)="","",IF('Technology direction'!D29="",'Technology direction'!C29,'Technology direction'!D29))</f>
      </c>
      <c r="Y29" s="20">
        <f>IF('Technology direction'!H29="","",'Technology direction'!H29)</f>
      </c>
      <c r="Z29" s="20">
        <f>IF('Answers out'!K29="","",'Answers out'!K29)</f>
      </c>
      <c r="AA29" s="20">
        <f>IF('Answers out'!C29="","",'Answers out'!C29)</f>
      </c>
      <c r="AB29" s="21">
        <f>IF('Answers out'!N29="","",'Answers out'!N29)</f>
      </c>
    </row>
    <row r="30" ht="30" customHeight="1" spans="1:28" x14ac:dyDescent="0.25">
      <c r="A30" s="16"/>
      <c r="B30" s="16"/>
      <c r="C30" s="16"/>
      <c r="D30" s="16"/>
      <c r="E30" s="16"/>
      <c r="F30" s="16"/>
      <c r="G30" s="16"/>
      <c r="H30" s="17"/>
      <c r="I30" s="16"/>
      <c r="J30" s="18">
        <f>IF(Scoring!N30="","",ROUND(Scoring!N30/3,1))</f>
      </c>
      <c r="K30" s="18">
        <f>IF(Scoring!M30="","",ROUND(Scoring!M30/3,1))</f>
      </c>
      <c r="L30" s="18">
        <f>IF(Scoring!L30="","",ROUND(Scoring!L30/3,1))</f>
      </c>
      <c r="M30" s="19"/>
      <c r="N30" s="18">
        <f>IF(COUNT(J30:M30)&lt;4,"",SUM(J30:M30))</f>
      </c>
      <c r="O30" s="16"/>
      <c r="P30" s="16"/>
      <c r="Q30" s="16"/>
      <c r="R30" s="16"/>
      <c r="S30" s="16"/>
      <c r="T30" s="20">
        <f>IF(COUNTBLANK(O30:S30)&gt;0,"",IF(P30="Yes","Predictive or optimisation",IF(O30="No","Automation",IF(AND(Q30="Yes",R30="Yes",S30="Yes"),"Agent",IF(AND(Q30="No",R30="No"),"Retrieval","LLM-augmented workflow")))))</f>
      </c>
      <c r="U30" s="16"/>
      <c r="V30" s="20">
        <f>IF(U30="","",IF(U30="Automation","Power Automate, Logic Apps or code. No AI governance.",IF(U30="Predictive or optimisation","Fabric data science, Azure ML or a prebuilt Foundry model. Model governance, not agent governance.",IF(U30="Retrieval","SharePoint agent, Copilot Studio retrieval agent or classic RAG. Light governance.",IF(U30="LLM-augmented workflow","A flow with one AI action, or a scheduled prompt. Governance proportional to consequence.","Agent. Continue to Stage 2.")))))</f>
      </c>
      <c r="W30" s="20">
        <f>IF('Assurance and gate'!K30="","",'Assurance and gate'!K30)</f>
      </c>
      <c r="X30" s="20">
        <f>IF(IF('Technology direction'!D30="",'Technology direction'!C30,'Technology direction'!D30)="","",IF('Technology direction'!D30="",'Technology direction'!C30,'Technology direction'!D30))</f>
      </c>
      <c r="Y30" s="20">
        <f>IF('Technology direction'!H30="","",'Technology direction'!H30)</f>
      </c>
      <c r="Z30" s="20">
        <f>IF('Answers out'!K30="","",'Answers out'!K30)</f>
      </c>
      <c r="AA30" s="20">
        <f>IF('Answers out'!C30="","",'Answers out'!C30)</f>
      </c>
      <c r="AB30" s="21">
        <f>IF('Answers out'!N30="","",'Answers out'!N30)</f>
      </c>
    </row>
    <row r="31" ht="30" customHeight="1" spans="1:28" x14ac:dyDescent="0.25">
      <c r="A31" s="16"/>
      <c r="B31" s="16"/>
      <c r="C31" s="16"/>
      <c r="D31" s="16"/>
      <c r="E31" s="16"/>
      <c r="F31" s="16"/>
      <c r="G31" s="16"/>
      <c r="H31" s="17"/>
      <c r="I31" s="16"/>
      <c r="J31" s="18">
        <f>IF(Scoring!N31="","",ROUND(Scoring!N31/3,1))</f>
      </c>
      <c r="K31" s="18">
        <f>IF(Scoring!M31="","",ROUND(Scoring!M31/3,1))</f>
      </c>
      <c r="L31" s="18">
        <f>IF(Scoring!L31="","",ROUND(Scoring!L31/3,1))</f>
      </c>
      <c r="M31" s="19"/>
      <c r="N31" s="18">
        <f>IF(COUNT(J31:M31)&lt;4,"",SUM(J31:M31))</f>
      </c>
      <c r="O31" s="16"/>
      <c r="P31" s="16"/>
      <c r="Q31" s="16"/>
      <c r="R31" s="16"/>
      <c r="S31" s="16"/>
      <c r="T31" s="20">
        <f>IF(COUNTBLANK(O31:S31)&gt;0,"",IF(P31="Yes","Predictive or optimisation",IF(O31="No","Automation",IF(AND(Q31="Yes",R31="Yes",S31="Yes"),"Agent",IF(AND(Q31="No",R31="No"),"Retrieval","LLM-augmented workflow")))))</f>
      </c>
      <c r="U31" s="16"/>
      <c r="V31" s="20">
        <f>IF(U31="","",IF(U31="Automation","Power Automate, Logic Apps or code. No AI governance.",IF(U31="Predictive or optimisation","Fabric data science, Azure ML or a prebuilt Foundry model. Model governance, not agent governance.",IF(U31="Retrieval","SharePoint agent, Copilot Studio retrieval agent or classic RAG. Light governance.",IF(U31="LLM-augmented workflow","A flow with one AI action, or a scheduled prompt. Governance proportional to consequence.","Agent. Continue to Stage 2.")))))</f>
      </c>
      <c r="W31" s="20">
        <f>IF('Assurance and gate'!K31="","",'Assurance and gate'!K31)</f>
      </c>
      <c r="X31" s="20">
        <f>IF(IF('Technology direction'!D31="",'Technology direction'!C31,'Technology direction'!D31)="","",IF('Technology direction'!D31="",'Technology direction'!C31,'Technology direction'!D31))</f>
      </c>
      <c r="Y31" s="20">
        <f>IF('Technology direction'!H31="","",'Technology direction'!H31)</f>
      </c>
      <c r="Z31" s="20">
        <f>IF('Answers out'!K31="","",'Answers out'!K31)</f>
      </c>
      <c r="AA31" s="20">
        <f>IF('Answers out'!C31="","",'Answers out'!C31)</f>
      </c>
      <c r="AB31" s="21">
        <f>IF('Answers out'!N31="","",'Answers out'!N31)</f>
      </c>
    </row>
    <row r="32" ht="30" customHeight="1" spans="1:28" x14ac:dyDescent="0.25">
      <c r="A32" s="16"/>
      <c r="B32" s="16"/>
      <c r="C32" s="16"/>
      <c r="D32" s="16"/>
      <c r="E32" s="16"/>
      <c r="F32" s="16"/>
      <c r="G32" s="16"/>
      <c r="H32" s="17"/>
      <c r="I32" s="16"/>
      <c r="J32" s="18">
        <f>IF(Scoring!N32="","",ROUND(Scoring!N32/3,1))</f>
      </c>
      <c r="K32" s="18">
        <f>IF(Scoring!M32="","",ROUND(Scoring!M32/3,1))</f>
      </c>
      <c r="L32" s="18">
        <f>IF(Scoring!L32="","",ROUND(Scoring!L32/3,1))</f>
      </c>
      <c r="M32" s="19"/>
      <c r="N32" s="18">
        <f>IF(COUNT(J32:M32)&lt;4,"",SUM(J32:M32))</f>
      </c>
      <c r="O32" s="16"/>
      <c r="P32" s="16"/>
      <c r="Q32" s="16"/>
      <c r="R32" s="16"/>
      <c r="S32" s="16"/>
      <c r="T32" s="20">
        <f>IF(COUNTBLANK(O32:S32)&gt;0,"",IF(P32="Yes","Predictive or optimisation",IF(O32="No","Automation",IF(AND(Q32="Yes",R32="Yes",S32="Yes"),"Agent",IF(AND(Q32="No",R32="No"),"Retrieval","LLM-augmented workflow")))))</f>
      </c>
      <c r="U32" s="16"/>
      <c r="V32" s="20">
        <f>IF(U32="","",IF(U32="Automation","Power Automate, Logic Apps or code. No AI governance.",IF(U32="Predictive or optimisation","Fabric data science, Azure ML or a prebuilt Foundry model. Model governance, not agent governance.",IF(U32="Retrieval","SharePoint agent, Copilot Studio retrieval agent or classic RAG. Light governance.",IF(U32="LLM-augmented workflow","A flow with one AI action, or a scheduled prompt. Governance proportional to consequence.","Agent. Continue to Stage 2.")))))</f>
      </c>
      <c r="W32" s="20">
        <f>IF('Assurance and gate'!K32="","",'Assurance and gate'!K32)</f>
      </c>
      <c r="X32" s="20">
        <f>IF(IF('Technology direction'!D32="",'Technology direction'!C32,'Technology direction'!D32)="","",IF('Technology direction'!D32="",'Technology direction'!C32,'Technology direction'!D32))</f>
      </c>
      <c r="Y32" s="20">
        <f>IF('Technology direction'!H32="","",'Technology direction'!H32)</f>
      </c>
      <c r="Z32" s="20">
        <f>IF('Answers out'!K32="","",'Answers out'!K32)</f>
      </c>
      <c r="AA32" s="20">
        <f>IF('Answers out'!C32="","",'Answers out'!C32)</f>
      </c>
      <c r="AB32" s="21">
        <f>IF('Answers out'!N32="","",'Answers out'!N32)</f>
      </c>
    </row>
    <row r="33" ht="30" customHeight="1" spans="1:28" x14ac:dyDescent="0.25">
      <c r="A33" s="16"/>
      <c r="B33" s="16"/>
      <c r="C33" s="16"/>
      <c r="D33" s="16"/>
      <c r="E33" s="16"/>
      <c r="F33" s="16"/>
      <c r="G33" s="16"/>
      <c r="H33" s="17"/>
      <c r="I33" s="16"/>
      <c r="J33" s="18">
        <f>IF(Scoring!N33="","",ROUND(Scoring!N33/3,1))</f>
      </c>
      <c r="K33" s="18">
        <f>IF(Scoring!M33="","",ROUND(Scoring!M33/3,1))</f>
      </c>
      <c r="L33" s="18">
        <f>IF(Scoring!L33="","",ROUND(Scoring!L33/3,1))</f>
      </c>
      <c r="M33" s="19"/>
      <c r="N33" s="18">
        <f>IF(COUNT(J33:M33)&lt;4,"",SUM(J33:M33))</f>
      </c>
      <c r="O33" s="16"/>
      <c r="P33" s="16"/>
      <c r="Q33" s="16"/>
      <c r="R33" s="16"/>
      <c r="S33" s="16"/>
      <c r="T33" s="20">
        <f>IF(COUNTBLANK(O33:S33)&gt;0,"",IF(P33="Yes","Predictive or optimisation",IF(O33="No","Automation",IF(AND(Q33="Yes",R33="Yes",S33="Yes"),"Agent",IF(AND(Q33="No",R33="No"),"Retrieval","LLM-augmented workflow")))))</f>
      </c>
      <c r="U33" s="16"/>
      <c r="V33" s="20">
        <f>IF(U33="","",IF(U33="Automation","Power Automate, Logic Apps or code. No AI governance.",IF(U33="Predictive or optimisation","Fabric data science, Azure ML or a prebuilt Foundry model. Model governance, not agent governance.",IF(U33="Retrieval","SharePoint agent, Copilot Studio retrieval agent or classic RAG. Light governance.",IF(U33="LLM-augmented workflow","A flow with one AI action, or a scheduled prompt. Governance proportional to consequence.","Agent. Continue to Stage 2.")))))</f>
      </c>
      <c r="W33" s="20">
        <f>IF('Assurance and gate'!K33="","",'Assurance and gate'!K33)</f>
      </c>
      <c r="X33" s="20">
        <f>IF(IF('Technology direction'!D33="",'Technology direction'!C33,'Technology direction'!D33)="","",IF('Technology direction'!D33="",'Technology direction'!C33,'Technology direction'!D33))</f>
      </c>
      <c r="Y33" s="20">
        <f>IF('Technology direction'!H33="","",'Technology direction'!H33)</f>
      </c>
      <c r="Z33" s="20">
        <f>IF('Answers out'!K33="","",'Answers out'!K33)</f>
      </c>
      <c r="AA33" s="20">
        <f>IF('Answers out'!C33="","",'Answers out'!C33)</f>
      </c>
      <c r="AB33" s="21">
        <f>IF('Answers out'!N33="","",'Answers out'!N33)</f>
      </c>
    </row>
    <row r="34" ht="30" customHeight="1" spans="1:28" x14ac:dyDescent="0.25">
      <c r="A34" s="16"/>
      <c r="B34" s="16"/>
      <c r="C34" s="16"/>
      <c r="D34" s="16"/>
      <c r="E34" s="16"/>
      <c r="F34" s="16"/>
      <c r="G34" s="16"/>
      <c r="H34" s="17"/>
      <c r="I34" s="16"/>
      <c r="J34" s="18">
        <f>IF(Scoring!N34="","",ROUND(Scoring!N34/3,1))</f>
      </c>
      <c r="K34" s="18">
        <f>IF(Scoring!M34="","",ROUND(Scoring!M34/3,1))</f>
      </c>
      <c r="L34" s="18">
        <f>IF(Scoring!L34="","",ROUND(Scoring!L34/3,1))</f>
      </c>
      <c r="M34" s="19"/>
      <c r="N34" s="18">
        <f>IF(COUNT(J34:M34)&lt;4,"",SUM(J34:M34))</f>
      </c>
      <c r="O34" s="16"/>
      <c r="P34" s="16"/>
      <c r="Q34" s="16"/>
      <c r="R34" s="16"/>
      <c r="S34" s="16"/>
      <c r="T34" s="20">
        <f>IF(COUNTBLANK(O34:S34)&gt;0,"",IF(P34="Yes","Predictive or optimisation",IF(O34="No","Automation",IF(AND(Q34="Yes",R34="Yes",S34="Yes"),"Agent",IF(AND(Q34="No",R34="No"),"Retrieval","LLM-augmented workflow")))))</f>
      </c>
      <c r="U34" s="16"/>
      <c r="V34" s="20">
        <f>IF(U34="","",IF(U34="Automation","Power Automate, Logic Apps or code. No AI governance.",IF(U34="Predictive or optimisation","Fabric data science, Azure ML or a prebuilt Foundry model. Model governance, not agent governance.",IF(U34="Retrieval","SharePoint agent, Copilot Studio retrieval agent or classic RAG. Light governance.",IF(U34="LLM-augmented workflow","A flow with one AI action, or a scheduled prompt. Governance proportional to consequence.","Agent. Continue to Stage 2.")))))</f>
      </c>
      <c r="W34" s="20">
        <f>IF('Assurance and gate'!K34="","",'Assurance and gate'!K34)</f>
      </c>
      <c r="X34" s="20">
        <f>IF(IF('Technology direction'!D34="",'Technology direction'!C34,'Technology direction'!D34)="","",IF('Technology direction'!D34="",'Technology direction'!C34,'Technology direction'!D34))</f>
      </c>
      <c r="Y34" s="20">
        <f>IF('Technology direction'!H34="","",'Technology direction'!H34)</f>
      </c>
      <c r="Z34" s="20">
        <f>IF('Answers out'!K34="","",'Answers out'!K34)</f>
      </c>
      <c r="AA34" s="20">
        <f>IF('Answers out'!C34="","",'Answers out'!C34)</f>
      </c>
      <c r="AB34" s="21">
        <f>IF('Answers out'!N34="","",'Answers out'!N34)</f>
      </c>
    </row>
    <row r="35" ht="30" customHeight="1" spans="1:28" x14ac:dyDescent="0.25">
      <c r="A35" s="16"/>
      <c r="B35" s="16"/>
      <c r="C35" s="16"/>
      <c r="D35" s="16"/>
      <c r="E35" s="16"/>
      <c r="F35" s="16"/>
      <c r="G35" s="16"/>
      <c r="H35" s="17"/>
      <c r="I35" s="16"/>
      <c r="J35" s="18">
        <f>IF(Scoring!N35="","",ROUND(Scoring!N35/3,1))</f>
      </c>
      <c r="K35" s="18">
        <f>IF(Scoring!M35="","",ROUND(Scoring!M35/3,1))</f>
      </c>
      <c r="L35" s="18">
        <f>IF(Scoring!L35="","",ROUND(Scoring!L35/3,1))</f>
      </c>
      <c r="M35" s="19"/>
      <c r="N35" s="18">
        <f>IF(COUNT(J35:M35)&lt;4,"",SUM(J35:M35))</f>
      </c>
      <c r="O35" s="16"/>
      <c r="P35" s="16"/>
      <c r="Q35" s="16"/>
      <c r="R35" s="16"/>
      <c r="S35" s="16"/>
      <c r="T35" s="20">
        <f>IF(COUNTBLANK(O35:S35)&gt;0,"",IF(P35="Yes","Predictive or optimisation",IF(O35="No","Automation",IF(AND(Q35="Yes",R35="Yes",S35="Yes"),"Agent",IF(AND(Q35="No",R35="No"),"Retrieval","LLM-augmented workflow")))))</f>
      </c>
      <c r="U35" s="16"/>
      <c r="V35" s="20">
        <f>IF(U35="","",IF(U35="Automation","Power Automate, Logic Apps or code. No AI governance.",IF(U35="Predictive or optimisation","Fabric data science, Azure ML or a prebuilt Foundry model. Model governance, not agent governance.",IF(U35="Retrieval","SharePoint agent, Copilot Studio retrieval agent or classic RAG. Light governance.",IF(U35="LLM-augmented workflow","A flow with one AI action, or a scheduled prompt. Governance proportional to consequence.","Agent. Continue to Stage 2.")))))</f>
      </c>
      <c r="W35" s="20">
        <f>IF('Assurance and gate'!K35="","",'Assurance and gate'!K35)</f>
      </c>
      <c r="X35" s="20">
        <f>IF(IF('Technology direction'!D35="",'Technology direction'!C35,'Technology direction'!D35)="","",IF('Technology direction'!D35="",'Technology direction'!C35,'Technology direction'!D35))</f>
      </c>
      <c r="Y35" s="20">
        <f>IF('Technology direction'!H35="","",'Technology direction'!H35)</f>
      </c>
      <c r="Z35" s="20">
        <f>IF('Answers out'!K35="","",'Answers out'!K35)</f>
      </c>
      <c r="AA35" s="20">
        <f>IF('Answers out'!C35="","",'Answers out'!C35)</f>
      </c>
      <c r="AB35" s="21">
        <f>IF('Answers out'!N35="","",'Answers out'!N35)</f>
      </c>
    </row>
    <row r="36" ht="30" customHeight="1" spans="1:28" x14ac:dyDescent="0.25">
      <c r="A36" s="16"/>
      <c r="B36" s="16"/>
      <c r="C36" s="16"/>
      <c r="D36" s="16"/>
      <c r="E36" s="16"/>
      <c r="F36" s="16"/>
      <c r="G36" s="16"/>
      <c r="H36" s="17"/>
      <c r="I36" s="16"/>
      <c r="J36" s="18">
        <f>IF(Scoring!N36="","",ROUND(Scoring!N36/3,1))</f>
      </c>
      <c r="K36" s="18">
        <f>IF(Scoring!M36="","",ROUND(Scoring!M36/3,1))</f>
      </c>
      <c r="L36" s="18">
        <f>IF(Scoring!L36="","",ROUND(Scoring!L36/3,1))</f>
      </c>
      <c r="M36" s="19"/>
      <c r="N36" s="18">
        <f>IF(COUNT(J36:M36)&lt;4,"",SUM(J36:M36))</f>
      </c>
      <c r="O36" s="16"/>
      <c r="P36" s="16"/>
      <c r="Q36" s="16"/>
      <c r="R36" s="16"/>
      <c r="S36" s="16"/>
      <c r="T36" s="20">
        <f>IF(COUNTBLANK(O36:S36)&gt;0,"",IF(P36="Yes","Predictive or optimisation",IF(O36="No","Automation",IF(AND(Q36="Yes",R36="Yes",S36="Yes"),"Agent",IF(AND(Q36="No",R36="No"),"Retrieval","LLM-augmented workflow")))))</f>
      </c>
      <c r="U36" s="16"/>
      <c r="V36" s="20">
        <f>IF(U36="","",IF(U36="Automation","Power Automate, Logic Apps or code. No AI governance.",IF(U36="Predictive or optimisation","Fabric data science, Azure ML or a prebuilt Foundry model. Model governance, not agent governance.",IF(U36="Retrieval","SharePoint agent, Copilot Studio retrieval agent or classic RAG. Light governance.",IF(U36="LLM-augmented workflow","A flow with one AI action, or a scheduled prompt. Governance proportional to consequence.","Agent. Continue to Stage 2.")))))</f>
      </c>
      <c r="W36" s="20">
        <f>IF('Assurance and gate'!K36="","",'Assurance and gate'!K36)</f>
      </c>
      <c r="X36" s="20">
        <f>IF(IF('Technology direction'!D36="",'Technology direction'!C36,'Technology direction'!D36)="","",IF('Technology direction'!D36="",'Technology direction'!C36,'Technology direction'!D36))</f>
      </c>
      <c r="Y36" s="20">
        <f>IF('Technology direction'!H36="","",'Technology direction'!H36)</f>
      </c>
      <c r="Z36" s="20">
        <f>IF('Answers out'!K36="","",'Answers out'!K36)</f>
      </c>
      <c r="AA36" s="20">
        <f>IF('Answers out'!C36="","",'Answers out'!C36)</f>
      </c>
      <c r="AB36" s="21">
        <f>IF('Answers out'!N36="","",'Answers out'!N36)</f>
      </c>
    </row>
    <row r="37" ht="30" customHeight="1" spans="1:28" x14ac:dyDescent="0.25">
      <c r="A37" s="16"/>
      <c r="B37" s="16"/>
      <c r="C37" s="16"/>
      <c r="D37" s="16"/>
      <c r="E37" s="16"/>
      <c r="F37" s="16"/>
      <c r="G37" s="16"/>
      <c r="H37" s="17"/>
      <c r="I37" s="16"/>
      <c r="J37" s="18">
        <f>IF(Scoring!N37="","",ROUND(Scoring!N37/3,1))</f>
      </c>
      <c r="K37" s="18">
        <f>IF(Scoring!M37="","",ROUND(Scoring!M37/3,1))</f>
      </c>
      <c r="L37" s="18">
        <f>IF(Scoring!L37="","",ROUND(Scoring!L37/3,1))</f>
      </c>
      <c r="M37" s="19"/>
      <c r="N37" s="18">
        <f>IF(COUNT(J37:M37)&lt;4,"",SUM(J37:M37))</f>
      </c>
      <c r="O37" s="16"/>
      <c r="P37" s="16"/>
      <c r="Q37" s="16"/>
      <c r="R37" s="16"/>
      <c r="S37" s="16"/>
      <c r="T37" s="20">
        <f>IF(COUNTBLANK(O37:S37)&gt;0,"",IF(P37="Yes","Predictive or optimisation",IF(O37="No","Automation",IF(AND(Q37="Yes",R37="Yes",S37="Yes"),"Agent",IF(AND(Q37="No",R37="No"),"Retrieval","LLM-augmented workflow")))))</f>
      </c>
      <c r="U37" s="16"/>
      <c r="V37" s="20">
        <f>IF(U37="","",IF(U37="Automation","Power Automate, Logic Apps or code. No AI governance.",IF(U37="Predictive or optimisation","Fabric data science, Azure ML or a prebuilt Foundry model. Model governance, not agent governance.",IF(U37="Retrieval","SharePoint agent, Copilot Studio retrieval agent or classic RAG. Light governance.",IF(U37="LLM-augmented workflow","A flow with one AI action, or a scheduled prompt. Governance proportional to consequence.","Agent. Continue to Stage 2.")))))</f>
      </c>
      <c r="W37" s="20">
        <f>IF('Assurance and gate'!K37="","",'Assurance and gate'!K37)</f>
      </c>
      <c r="X37" s="20">
        <f>IF(IF('Technology direction'!D37="",'Technology direction'!C37,'Technology direction'!D37)="","",IF('Technology direction'!D37="",'Technology direction'!C37,'Technology direction'!D37))</f>
      </c>
      <c r="Y37" s="20">
        <f>IF('Technology direction'!H37="","",'Technology direction'!H37)</f>
      </c>
      <c r="Z37" s="20">
        <f>IF('Answers out'!K37="","",'Answers out'!K37)</f>
      </c>
      <c r="AA37" s="20">
        <f>IF('Answers out'!C37="","",'Answers out'!C37)</f>
      </c>
      <c r="AB37" s="21">
        <f>IF('Answers out'!N37="","",'Answers out'!N37)</f>
      </c>
    </row>
    <row r="38" ht="30" customHeight="1" spans="1:28" x14ac:dyDescent="0.25">
      <c r="A38" s="16"/>
      <c r="B38" s="16"/>
      <c r="C38" s="16"/>
      <c r="D38" s="16"/>
      <c r="E38" s="16"/>
      <c r="F38" s="16"/>
      <c r="G38" s="16"/>
      <c r="H38" s="17"/>
      <c r="I38" s="16"/>
      <c r="J38" s="18">
        <f>IF(Scoring!N38="","",ROUND(Scoring!N38/3,1))</f>
      </c>
      <c r="K38" s="18">
        <f>IF(Scoring!M38="","",ROUND(Scoring!M38/3,1))</f>
      </c>
      <c r="L38" s="18">
        <f>IF(Scoring!L38="","",ROUND(Scoring!L38/3,1))</f>
      </c>
      <c r="M38" s="19"/>
      <c r="N38" s="18">
        <f>IF(COUNT(J38:M38)&lt;4,"",SUM(J38:M38))</f>
      </c>
      <c r="O38" s="16"/>
      <c r="P38" s="16"/>
      <c r="Q38" s="16"/>
      <c r="R38" s="16"/>
      <c r="S38" s="16"/>
      <c r="T38" s="20">
        <f>IF(COUNTBLANK(O38:S38)&gt;0,"",IF(P38="Yes","Predictive or optimisation",IF(O38="No","Automation",IF(AND(Q38="Yes",R38="Yes",S38="Yes"),"Agent",IF(AND(Q38="No",R38="No"),"Retrieval","LLM-augmented workflow")))))</f>
      </c>
      <c r="U38" s="16"/>
      <c r="V38" s="20">
        <f>IF(U38="","",IF(U38="Automation","Power Automate, Logic Apps or code. No AI governance.",IF(U38="Predictive or optimisation","Fabric data science, Azure ML or a prebuilt Foundry model. Model governance, not agent governance.",IF(U38="Retrieval","SharePoint agent, Copilot Studio retrieval agent or classic RAG. Light governance.",IF(U38="LLM-augmented workflow","A flow with one AI action, or a scheduled prompt. Governance proportional to consequence.","Agent. Continue to Stage 2.")))))</f>
      </c>
      <c r="W38" s="20">
        <f>IF('Assurance and gate'!K38="","",'Assurance and gate'!K38)</f>
      </c>
      <c r="X38" s="20">
        <f>IF(IF('Technology direction'!D38="",'Technology direction'!C38,'Technology direction'!D38)="","",IF('Technology direction'!D38="",'Technology direction'!C38,'Technology direction'!D38))</f>
      </c>
      <c r="Y38" s="20">
        <f>IF('Technology direction'!H38="","",'Technology direction'!H38)</f>
      </c>
      <c r="Z38" s="20">
        <f>IF('Answers out'!K38="","",'Answers out'!K38)</f>
      </c>
      <c r="AA38" s="20">
        <f>IF('Answers out'!C38="","",'Answers out'!C38)</f>
      </c>
      <c r="AB38" s="21">
        <f>IF('Answers out'!N38="","",'Answers out'!N38)</f>
      </c>
    </row>
    <row r="39" ht="30" customHeight="1" spans="1:28" x14ac:dyDescent="0.25">
      <c r="A39" s="16"/>
      <c r="B39" s="16"/>
      <c r="C39" s="16"/>
      <c r="D39" s="16"/>
      <c r="E39" s="16"/>
      <c r="F39" s="16"/>
      <c r="G39" s="16"/>
      <c r="H39" s="17"/>
      <c r="I39" s="16"/>
      <c r="J39" s="18">
        <f>IF(Scoring!N39="","",ROUND(Scoring!N39/3,1))</f>
      </c>
      <c r="K39" s="18">
        <f>IF(Scoring!M39="","",ROUND(Scoring!M39/3,1))</f>
      </c>
      <c r="L39" s="18">
        <f>IF(Scoring!L39="","",ROUND(Scoring!L39/3,1))</f>
      </c>
      <c r="M39" s="19"/>
      <c r="N39" s="18">
        <f>IF(COUNT(J39:M39)&lt;4,"",SUM(J39:M39))</f>
      </c>
      <c r="O39" s="16"/>
      <c r="P39" s="16"/>
      <c r="Q39" s="16"/>
      <c r="R39" s="16"/>
      <c r="S39" s="16"/>
      <c r="T39" s="20">
        <f>IF(COUNTBLANK(O39:S39)&gt;0,"",IF(P39="Yes","Predictive or optimisation",IF(O39="No","Automation",IF(AND(Q39="Yes",R39="Yes",S39="Yes"),"Agent",IF(AND(Q39="No",R39="No"),"Retrieval","LLM-augmented workflow")))))</f>
      </c>
      <c r="U39" s="16"/>
      <c r="V39" s="20">
        <f>IF(U39="","",IF(U39="Automation","Power Automate, Logic Apps or code. No AI governance.",IF(U39="Predictive or optimisation","Fabric data science, Azure ML or a prebuilt Foundry model. Model governance, not agent governance.",IF(U39="Retrieval","SharePoint agent, Copilot Studio retrieval agent or classic RAG. Light governance.",IF(U39="LLM-augmented workflow","A flow with one AI action, or a scheduled prompt. Governance proportional to consequence.","Agent. Continue to Stage 2.")))))</f>
      </c>
      <c r="W39" s="20">
        <f>IF('Assurance and gate'!K39="","",'Assurance and gate'!K39)</f>
      </c>
      <c r="X39" s="20">
        <f>IF(IF('Technology direction'!D39="",'Technology direction'!C39,'Technology direction'!D39)="","",IF('Technology direction'!D39="",'Technology direction'!C39,'Technology direction'!D39))</f>
      </c>
      <c r="Y39" s="20">
        <f>IF('Technology direction'!H39="","",'Technology direction'!H39)</f>
      </c>
      <c r="Z39" s="20">
        <f>IF('Answers out'!K39="","",'Answers out'!K39)</f>
      </c>
      <c r="AA39" s="20">
        <f>IF('Answers out'!C39="","",'Answers out'!C39)</f>
      </c>
      <c r="AB39" s="21">
        <f>IF('Answers out'!N39="","",'Answers out'!N39)</f>
      </c>
    </row>
    <row r="40" ht="30" customHeight="1" spans="1:28" x14ac:dyDescent="0.25">
      <c r="A40" s="16"/>
      <c r="B40" s="16"/>
      <c r="C40" s="16"/>
      <c r="D40" s="16"/>
      <c r="E40" s="16"/>
      <c r="F40" s="16"/>
      <c r="G40" s="16"/>
      <c r="H40" s="17"/>
      <c r="I40" s="16"/>
      <c r="J40" s="18">
        <f>IF(Scoring!N40="","",ROUND(Scoring!N40/3,1))</f>
      </c>
      <c r="K40" s="18">
        <f>IF(Scoring!M40="","",ROUND(Scoring!M40/3,1))</f>
      </c>
      <c r="L40" s="18">
        <f>IF(Scoring!L40="","",ROUND(Scoring!L40/3,1))</f>
      </c>
      <c r="M40" s="19"/>
      <c r="N40" s="18">
        <f>IF(COUNT(J40:M40)&lt;4,"",SUM(J40:M40))</f>
      </c>
      <c r="O40" s="16"/>
      <c r="P40" s="16"/>
      <c r="Q40" s="16"/>
      <c r="R40" s="16"/>
      <c r="S40" s="16"/>
      <c r="T40" s="20">
        <f>IF(COUNTBLANK(O40:S40)&gt;0,"",IF(P40="Yes","Predictive or optimisation",IF(O40="No","Automation",IF(AND(Q40="Yes",R40="Yes",S40="Yes"),"Agent",IF(AND(Q40="No",R40="No"),"Retrieval","LLM-augmented workflow")))))</f>
      </c>
      <c r="U40" s="16"/>
      <c r="V40" s="20">
        <f>IF(U40="","",IF(U40="Automation","Power Automate, Logic Apps or code. No AI governance.",IF(U40="Predictive or optimisation","Fabric data science, Azure ML or a prebuilt Foundry model. Model governance, not agent governance.",IF(U40="Retrieval","SharePoint agent, Copilot Studio retrieval agent or classic RAG. Light governance.",IF(U40="LLM-augmented workflow","A flow with one AI action, or a scheduled prompt. Governance proportional to consequence.","Agent. Continue to Stage 2.")))))</f>
      </c>
      <c r="W40" s="20">
        <f>IF('Assurance and gate'!K40="","",'Assurance and gate'!K40)</f>
      </c>
      <c r="X40" s="20">
        <f>IF(IF('Technology direction'!D40="",'Technology direction'!C40,'Technology direction'!D40)="","",IF('Technology direction'!D40="",'Technology direction'!C40,'Technology direction'!D40))</f>
      </c>
      <c r="Y40" s="20">
        <f>IF('Technology direction'!H40="","",'Technology direction'!H40)</f>
      </c>
      <c r="Z40" s="20">
        <f>IF('Answers out'!K40="","",'Answers out'!K40)</f>
      </c>
      <c r="AA40" s="20">
        <f>IF('Answers out'!C40="","",'Answers out'!C40)</f>
      </c>
      <c r="AB40" s="21">
        <f>IF('Answers out'!N40="","",'Answers out'!N40)</f>
      </c>
    </row>
    <row r="41" ht="30" customHeight="1" spans="1:28" x14ac:dyDescent="0.25">
      <c r="A41" s="16"/>
      <c r="B41" s="16"/>
      <c r="C41" s="16"/>
      <c r="D41" s="16"/>
      <c r="E41" s="16"/>
      <c r="F41" s="16"/>
      <c r="G41" s="16"/>
      <c r="H41" s="17"/>
      <c r="I41" s="16"/>
      <c r="J41" s="18">
        <f>IF(Scoring!N41="","",ROUND(Scoring!N41/3,1))</f>
      </c>
      <c r="K41" s="18">
        <f>IF(Scoring!M41="","",ROUND(Scoring!M41/3,1))</f>
      </c>
      <c r="L41" s="18">
        <f>IF(Scoring!L41="","",ROUND(Scoring!L41/3,1))</f>
      </c>
      <c r="M41" s="19"/>
      <c r="N41" s="18">
        <f>IF(COUNT(J41:M41)&lt;4,"",SUM(J41:M41))</f>
      </c>
      <c r="O41" s="16"/>
      <c r="P41" s="16"/>
      <c r="Q41" s="16"/>
      <c r="R41" s="16"/>
      <c r="S41" s="16"/>
      <c r="T41" s="20">
        <f>IF(COUNTBLANK(O41:S41)&gt;0,"",IF(P41="Yes","Predictive or optimisation",IF(O41="No","Automation",IF(AND(Q41="Yes",R41="Yes",S41="Yes"),"Agent",IF(AND(Q41="No",R41="No"),"Retrieval","LLM-augmented workflow")))))</f>
      </c>
      <c r="U41" s="16"/>
      <c r="V41" s="20">
        <f>IF(U41="","",IF(U41="Automation","Power Automate, Logic Apps or code. No AI governance.",IF(U41="Predictive or optimisation","Fabric data science, Azure ML or a prebuilt Foundry model. Model governance, not agent governance.",IF(U41="Retrieval","SharePoint agent, Copilot Studio retrieval agent or classic RAG. Light governance.",IF(U41="LLM-augmented workflow","A flow with one AI action, or a scheduled prompt. Governance proportional to consequence.","Agent. Continue to Stage 2.")))))</f>
      </c>
      <c r="W41" s="20">
        <f>IF('Assurance and gate'!K41="","",'Assurance and gate'!K41)</f>
      </c>
      <c r="X41" s="20">
        <f>IF(IF('Technology direction'!D41="",'Technology direction'!C41,'Technology direction'!D41)="","",IF('Technology direction'!D41="",'Technology direction'!C41,'Technology direction'!D41))</f>
      </c>
      <c r="Y41" s="20">
        <f>IF('Technology direction'!H41="","",'Technology direction'!H41)</f>
      </c>
      <c r="Z41" s="20">
        <f>IF('Answers out'!K41="","",'Answers out'!K41)</f>
      </c>
      <c r="AA41" s="20">
        <f>IF('Answers out'!C41="","",'Answers out'!C41)</f>
      </c>
      <c r="AB41" s="21">
        <f>IF('Answers out'!N41="","",'Answers out'!N41)</f>
      </c>
    </row>
    <row r="42" ht="30" customHeight="1" spans="1:28" x14ac:dyDescent="0.25">
      <c r="A42" s="16"/>
      <c r="B42" s="16"/>
      <c r="C42" s="16"/>
      <c r="D42" s="16"/>
      <c r="E42" s="16"/>
      <c r="F42" s="16"/>
      <c r="G42" s="16"/>
      <c r="H42" s="17"/>
      <c r="I42" s="16"/>
      <c r="J42" s="18">
        <f>IF(Scoring!N42="","",ROUND(Scoring!N42/3,1))</f>
      </c>
      <c r="K42" s="18">
        <f>IF(Scoring!M42="","",ROUND(Scoring!M42/3,1))</f>
      </c>
      <c r="L42" s="18">
        <f>IF(Scoring!L42="","",ROUND(Scoring!L42/3,1))</f>
      </c>
      <c r="M42" s="19"/>
      <c r="N42" s="18">
        <f>IF(COUNT(J42:M42)&lt;4,"",SUM(J42:M42))</f>
      </c>
      <c r="O42" s="16"/>
      <c r="P42" s="16"/>
      <c r="Q42" s="16"/>
      <c r="R42" s="16"/>
      <c r="S42" s="16"/>
      <c r="T42" s="20">
        <f>IF(COUNTBLANK(O42:S42)&gt;0,"",IF(P42="Yes","Predictive or optimisation",IF(O42="No","Automation",IF(AND(Q42="Yes",R42="Yes",S42="Yes"),"Agent",IF(AND(Q42="No",R42="No"),"Retrieval","LLM-augmented workflow")))))</f>
      </c>
      <c r="U42" s="16"/>
      <c r="V42" s="20">
        <f>IF(U42="","",IF(U42="Automation","Power Automate, Logic Apps or code. No AI governance.",IF(U42="Predictive or optimisation","Fabric data science, Azure ML or a prebuilt Foundry model. Model governance, not agent governance.",IF(U42="Retrieval","SharePoint agent, Copilot Studio retrieval agent or classic RAG. Light governance.",IF(U42="LLM-augmented workflow","A flow with one AI action, or a scheduled prompt. Governance proportional to consequence.","Agent. Continue to Stage 2.")))))</f>
      </c>
      <c r="W42" s="20">
        <f>IF('Assurance and gate'!K42="","",'Assurance and gate'!K42)</f>
      </c>
      <c r="X42" s="20">
        <f>IF(IF('Technology direction'!D42="",'Technology direction'!C42,'Technology direction'!D42)="","",IF('Technology direction'!D42="",'Technology direction'!C42,'Technology direction'!D42))</f>
      </c>
      <c r="Y42" s="20">
        <f>IF('Technology direction'!H42="","",'Technology direction'!H42)</f>
      </c>
      <c r="Z42" s="20">
        <f>IF('Answers out'!K42="","",'Answers out'!K42)</f>
      </c>
      <c r="AA42" s="20">
        <f>IF('Answers out'!C42="","",'Answers out'!C42)</f>
      </c>
      <c r="AB42" s="21">
        <f>IF('Answers out'!N42="","",'Answers out'!N42)</f>
      </c>
    </row>
    <row r="43" ht="30" customHeight="1" spans="1:28" x14ac:dyDescent="0.25">
      <c r="A43" s="16"/>
      <c r="B43" s="16"/>
      <c r="C43" s="16"/>
      <c r="D43" s="16"/>
      <c r="E43" s="16"/>
      <c r="F43" s="16"/>
      <c r="G43" s="16"/>
      <c r="H43" s="17"/>
      <c r="I43" s="16"/>
      <c r="J43" s="18">
        <f>IF(Scoring!N43="","",ROUND(Scoring!N43/3,1))</f>
      </c>
      <c r="K43" s="18">
        <f>IF(Scoring!M43="","",ROUND(Scoring!M43/3,1))</f>
      </c>
      <c r="L43" s="18">
        <f>IF(Scoring!L43="","",ROUND(Scoring!L43/3,1))</f>
      </c>
      <c r="M43" s="19"/>
      <c r="N43" s="18">
        <f>IF(COUNT(J43:M43)&lt;4,"",SUM(J43:M43))</f>
      </c>
      <c r="O43" s="16"/>
      <c r="P43" s="16"/>
      <c r="Q43" s="16"/>
      <c r="R43" s="16"/>
      <c r="S43" s="16"/>
      <c r="T43" s="20">
        <f>IF(COUNTBLANK(O43:S43)&gt;0,"",IF(P43="Yes","Predictive or optimisation",IF(O43="No","Automation",IF(AND(Q43="Yes",R43="Yes",S43="Yes"),"Agent",IF(AND(Q43="No",R43="No"),"Retrieval","LLM-augmented workflow")))))</f>
      </c>
      <c r="U43" s="16"/>
      <c r="V43" s="20">
        <f>IF(U43="","",IF(U43="Automation","Power Automate, Logic Apps or code. No AI governance.",IF(U43="Predictive or optimisation","Fabric data science, Azure ML or a prebuilt Foundry model. Model governance, not agent governance.",IF(U43="Retrieval","SharePoint agent, Copilot Studio retrieval agent or classic RAG. Light governance.",IF(U43="LLM-augmented workflow","A flow with one AI action, or a scheduled prompt. Governance proportional to consequence.","Agent. Continue to Stage 2.")))))</f>
      </c>
      <c r="W43" s="20">
        <f>IF('Assurance and gate'!K43="","",'Assurance and gate'!K43)</f>
      </c>
      <c r="X43" s="20">
        <f>IF(IF('Technology direction'!D43="",'Technology direction'!C43,'Technology direction'!D43)="","",IF('Technology direction'!D43="",'Technology direction'!C43,'Technology direction'!D43))</f>
      </c>
      <c r="Y43" s="20">
        <f>IF('Technology direction'!H43="","",'Technology direction'!H43)</f>
      </c>
      <c r="Z43" s="20">
        <f>IF('Answers out'!K43="","",'Answers out'!K43)</f>
      </c>
      <c r="AA43" s="20">
        <f>IF('Answers out'!C43="","",'Answers out'!C43)</f>
      </c>
      <c r="AB43" s="21">
        <f>IF('Answers out'!N43="","",'Answers out'!N43)</f>
      </c>
    </row>
    <row r="44" ht="30" customHeight="1" spans="1:28" x14ac:dyDescent="0.25">
      <c r="A44" s="16"/>
      <c r="B44" s="16"/>
      <c r="C44" s="16"/>
      <c r="D44" s="16"/>
      <c r="E44" s="16"/>
      <c r="F44" s="16"/>
      <c r="G44" s="16"/>
      <c r="H44" s="17"/>
      <c r="I44" s="16"/>
      <c r="J44" s="18">
        <f>IF(Scoring!N44="","",ROUND(Scoring!N44/3,1))</f>
      </c>
      <c r="K44" s="18">
        <f>IF(Scoring!M44="","",ROUND(Scoring!M44/3,1))</f>
      </c>
      <c r="L44" s="18">
        <f>IF(Scoring!L44="","",ROUND(Scoring!L44/3,1))</f>
      </c>
      <c r="M44" s="19"/>
      <c r="N44" s="18">
        <f>IF(COUNT(J44:M44)&lt;4,"",SUM(J44:M44))</f>
      </c>
      <c r="O44" s="16"/>
      <c r="P44" s="16"/>
      <c r="Q44" s="16"/>
      <c r="R44" s="16"/>
      <c r="S44" s="16"/>
      <c r="T44" s="20">
        <f>IF(COUNTBLANK(O44:S44)&gt;0,"",IF(P44="Yes","Predictive or optimisation",IF(O44="No","Automation",IF(AND(Q44="Yes",R44="Yes",S44="Yes"),"Agent",IF(AND(Q44="No",R44="No"),"Retrieval","LLM-augmented workflow")))))</f>
      </c>
      <c r="U44" s="16"/>
      <c r="V44" s="20">
        <f>IF(U44="","",IF(U44="Automation","Power Automate, Logic Apps or code. No AI governance.",IF(U44="Predictive or optimisation","Fabric data science, Azure ML or a prebuilt Foundry model. Model governance, not agent governance.",IF(U44="Retrieval","SharePoint agent, Copilot Studio retrieval agent or classic RAG. Light governance.",IF(U44="LLM-augmented workflow","A flow with one AI action, or a scheduled prompt. Governance proportional to consequence.","Agent. Continue to Stage 2.")))))</f>
      </c>
      <c r="W44" s="20">
        <f>IF('Assurance and gate'!K44="","",'Assurance and gate'!K44)</f>
      </c>
      <c r="X44" s="20">
        <f>IF(IF('Technology direction'!D44="",'Technology direction'!C44,'Technology direction'!D44)="","",IF('Technology direction'!D44="",'Technology direction'!C44,'Technology direction'!D44))</f>
      </c>
      <c r="Y44" s="20">
        <f>IF('Technology direction'!H44="","",'Technology direction'!H44)</f>
      </c>
      <c r="Z44" s="20">
        <f>IF('Answers out'!K44="","",'Answers out'!K44)</f>
      </c>
      <c r="AA44" s="20">
        <f>IF('Answers out'!C44="","",'Answers out'!C44)</f>
      </c>
      <c r="AB44" s="21">
        <f>IF('Answers out'!N44="","",'Answers out'!N44)</f>
      </c>
    </row>
    <row r="45" ht="30" customHeight="1" spans="1:28" x14ac:dyDescent="0.25">
      <c r="A45" s="16"/>
      <c r="B45" s="16"/>
      <c r="C45" s="16"/>
      <c r="D45" s="16"/>
      <c r="E45" s="16"/>
      <c r="F45" s="16"/>
      <c r="G45" s="16"/>
      <c r="H45" s="17"/>
      <c r="I45" s="16"/>
      <c r="J45" s="18">
        <f>IF(Scoring!N45="","",ROUND(Scoring!N45/3,1))</f>
      </c>
      <c r="K45" s="18">
        <f>IF(Scoring!M45="","",ROUND(Scoring!M45/3,1))</f>
      </c>
      <c r="L45" s="18">
        <f>IF(Scoring!L45="","",ROUND(Scoring!L45/3,1))</f>
      </c>
      <c r="M45" s="19"/>
      <c r="N45" s="18">
        <f>IF(COUNT(J45:M45)&lt;4,"",SUM(J45:M45))</f>
      </c>
      <c r="O45" s="16"/>
      <c r="P45" s="16"/>
      <c r="Q45" s="16"/>
      <c r="R45" s="16"/>
      <c r="S45" s="16"/>
      <c r="T45" s="20">
        <f>IF(COUNTBLANK(O45:S45)&gt;0,"",IF(P45="Yes","Predictive or optimisation",IF(O45="No","Automation",IF(AND(Q45="Yes",R45="Yes",S45="Yes"),"Agent",IF(AND(Q45="No",R45="No"),"Retrieval","LLM-augmented workflow")))))</f>
      </c>
      <c r="U45" s="16"/>
      <c r="V45" s="20">
        <f>IF(U45="","",IF(U45="Automation","Power Automate, Logic Apps or code. No AI governance.",IF(U45="Predictive or optimisation","Fabric data science, Azure ML or a prebuilt Foundry model. Model governance, not agent governance.",IF(U45="Retrieval","SharePoint agent, Copilot Studio retrieval agent or classic RAG. Light governance.",IF(U45="LLM-augmented workflow","A flow with one AI action, or a scheduled prompt. Governance proportional to consequence.","Agent. Continue to Stage 2.")))))</f>
      </c>
      <c r="W45" s="20">
        <f>IF('Assurance and gate'!K45="","",'Assurance and gate'!K45)</f>
      </c>
      <c r="X45" s="20">
        <f>IF(IF('Technology direction'!D45="",'Technology direction'!C45,'Technology direction'!D45)="","",IF('Technology direction'!D45="",'Technology direction'!C45,'Technology direction'!D45))</f>
      </c>
      <c r="Y45" s="20">
        <f>IF('Technology direction'!H45="","",'Technology direction'!H45)</f>
      </c>
      <c r="Z45" s="20">
        <f>IF('Answers out'!K45="","",'Answers out'!K45)</f>
      </c>
      <c r="AA45" s="20">
        <f>IF('Answers out'!C45="","",'Answers out'!C45)</f>
      </c>
      <c r="AB45" s="21">
        <f>IF('Answers out'!N45="","",'Answers out'!N45)</f>
      </c>
    </row>
    <row r="46" ht="30" customHeight="1" spans="1:28" x14ac:dyDescent="0.25">
      <c r="A46" s="16"/>
      <c r="B46" s="16"/>
      <c r="C46" s="16"/>
      <c r="D46" s="16"/>
      <c r="E46" s="16"/>
      <c r="F46" s="16"/>
      <c r="G46" s="16"/>
      <c r="H46" s="17"/>
      <c r="I46" s="16"/>
      <c r="J46" s="18">
        <f>IF(Scoring!N46="","",ROUND(Scoring!N46/3,1))</f>
      </c>
      <c r="K46" s="18">
        <f>IF(Scoring!M46="","",ROUND(Scoring!M46/3,1))</f>
      </c>
      <c r="L46" s="18">
        <f>IF(Scoring!L46="","",ROUND(Scoring!L46/3,1))</f>
      </c>
      <c r="M46" s="19"/>
      <c r="N46" s="18">
        <f>IF(COUNT(J46:M46)&lt;4,"",SUM(J46:M46))</f>
      </c>
      <c r="O46" s="16"/>
      <c r="P46" s="16"/>
      <c r="Q46" s="16"/>
      <c r="R46" s="16"/>
      <c r="S46" s="16"/>
      <c r="T46" s="20">
        <f>IF(COUNTBLANK(O46:S46)&gt;0,"",IF(P46="Yes","Predictive or optimisation",IF(O46="No","Automation",IF(AND(Q46="Yes",R46="Yes",S46="Yes"),"Agent",IF(AND(Q46="No",R46="No"),"Retrieval","LLM-augmented workflow")))))</f>
      </c>
      <c r="U46" s="16"/>
      <c r="V46" s="20">
        <f>IF(U46="","",IF(U46="Automation","Power Automate, Logic Apps or code. No AI governance.",IF(U46="Predictive or optimisation","Fabric data science, Azure ML or a prebuilt Foundry model. Model governance, not agent governance.",IF(U46="Retrieval","SharePoint agent, Copilot Studio retrieval agent or classic RAG. Light governance.",IF(U46="LLM-augmented workflow","A flow with one AI action, or a scheduled prompt. Governance proportional to consequence.","Agent. Continue to Stage 2.")))))</f>
      </c>
      <c r="W46" s="20">
        <f>IF('Assurance and gate'!K46="","",'Assurance and gate'!K46)</f>
      </c>
      <c r="X46" s="20">
        <f>IF(IF('Technology direction'!D46="",'Technology direction'!C46,'Technology direction'!D46)="","",IF('Technology direction'!D46="",'Technology direction'!C46,'Technology direction'!D46))</f>
      </c>
      <c r="Y46" s="20">
        <f>IF('Technology direction'!H46="","",'Technology direction'!H46)</f>
      </c>
      <c r="Z46" s="20">
        <f>IF('Answers out'!K46="","",'Answers out'!K46)</f>
      </c>
      <c r="AA46" s="20">
        <f>IF('Answers out'!C46="","",'Answers out'!C46)</f>
      </c>
      <c r="AB46" s="21">
        <f>IF('Answers out'!N46="","",'Answers out'!N46)</f>
      </c>
    </row>
    <row r="47" ht="30" customHeight="1" spans="1:28" x14ac:dyDescent="0.25">
      <c r="A47" s="16"/>
      <c r="B47" s="16"/>
      <c r="C47" s="16"/>
      <c r="D47" s="16"/>
      <c r="E47" s="16"/>
      <c r="F47" s="16"/>
      <c r="G47" s="16"/>
      <c r="H47" s="17"/>
      <c r="I47" s="16"/>
      <c r="J47" s="18">
        <f>IF(Scoring!N47="","",ROUND(Scoring!N47/3,1))</f>
      </c>
      <c r="K47" s="18">
        <f>IF(Scoring!M47="","",ROUND(Scoring!M47/3,1))</f>
      </c>
      <c r="L47" s="18">
        <f>IF(Scoring!L47="","",ROUND(Scoring!L47/3,1))</f>
      </c>
      <c r="M47" s="19"/>
      <c r="N47" s="18">
        <f>IF(COUNT(J47:M47)&lt;4,"",SUM(J47:M47))</f>
      </c>
      <c r="O47" s="16"/>
      <c r="P47" s="16"/>
      <c r="Q47" s="16"/>
      <c r="R47" s="16"/>
      <c r="S47" s="16"/>
      <c r="T47" s="20">
        <f>IF(COUNTBLANK(O47:S47)&gt;0,"",IF(P47="Yes","Predictive or optimisation",IF(O47="No","Automation",IF(AND(Q47="Yes",R47="Yes",S47="Yes"),"Agent",IF(AND(Q47="No",R47="No"),"Retrieval","LLM-augmented workflow")))))</f>
      </c>
      <c r="U47" s="16"/>
      <c r="V47" s="20">
        <f>IF(U47="","",IF(U47="Automation","Power Automate, Logic Apps or code. No AI governance.",IF(U47="Predictive or optimisation","Fabric data science, Azure ML or a prebuilt Foundry model. Model governance, not agent governance.",IF(U47="Retrieval","SharePoint agent, Copilot Studio retrieval agent or classic RAG. Light governance.",IF(U47="LLM-augmented workflow","A flow with one AI action, or a scheduled prompt. Governance proportional to consequence.","Agent. Continue to Stage 2.")))))</f>
      </c>
      <c r="W47" s="20">
        <f>IF('Assurance and gate'!K47="","",'Assurance and gate'!K47)</f>
      </c>
      <c r="X47" s="20">
        <f>IF(IF('Technology direction'!D47="",'Technology direction'!C47,'Technology direction'!D47)="","",IF('Technology direction'!D47="",'Technology direction'!C47,'Technology direction'!D47))</f>
      </c>
      <c r="Y47" s="20">
        <f>IF('Technology direction'!H47="","",'Technology direction'!H47)</f>
      </c>
      <c r="Z47" s="20">
        <f>IF('Answers out'!K47="","",'Answers out'!K47)</f>
      </c>
      <c r="AA47" s="20">
        <f>IF('Answers out'!C47="","",'Answers out'!C47)</f>
      </c>
      <c r="AB47" s="21">
        <f>IF('Answers out'!N47="","",'Answers out'!N47)</f>
      </c>
    </row>
    <row r="48" ht="30" customHeight="1" spans="1:28" x14ac:dyDescent="0.25">
      <c r="A48" s="16"/>
      <c r="B48" s="16"/>
      <c r="C48" s="16"/>
      <c r="D48" s="16"/>
      <c r="E48" s="16"/>
      <c r="F48" s="16"/>
      <c r="G48" s="16"/>
      <c r="H48" s="17"/>
      <c r="I48" s="16"/>
      <c r="J48" s="18">
        <f>IF(Scoring!N48="","",ROUND(Scoring!N48/3,1))</f>
      </c>
      <c r="K48" s="18">
        <f>IF(Scoring!M48="","",ROUND(Scoring!M48/3,1))</f>
      </c>
      <c r="L48" s="18">
        <f>IF(Scoring!L48="","",ROUND(Scoring!L48/3,1))</f>
      </c>
      <c r="M48" s="19"/>
      <c r="N48" s="18">
        <f>IF(COUNT(J48:M48)&lt;4,"",SUM(J48:M48))</f>
      </c>
      <c r="O48" s="16"/>
      <c r="P48" s="16"/>
      <c r="Q48" s="16"/>
      <c r="R48" s="16"/>
      <c r="S48" s="16"/>
      <c r="T48" s="20">
        <f>IF(COUNTBLANK(O48:S48)&gt;0,"",IF(P48="Yes","Predictive or optimisation",IF(O48="No","Automation",IF(AND(Q48="Yes",R48="Yes",S48="Yes"),"Agent",IF(AND(Q48="No",R48="No"),"Retrieval","LLM-augmented workflow")))))</f>
      </c>
      <c r="U48" s="16"/>
      <c r="V48" s="20">
        <f>IF(U48="","",IF(U48="Automation","Power Automate, Logic Apps or code. No AI governance.",IF(U48="Predictive or optimisation","Fabric data science, Azure ML or a prebuilt Foundry model. Model governance, not agent governance.",IF(U48="Retrieval","SharePoint agent, Copilot Studio retrieval agent or classic RAG. Light governance.",IF(U48="LLM-augmented workflow","A flow with one AI action, or a scheduled prompt. Governance proportional to consequence.","Agent. Continue to Stage 2.")))))</f>
      </c>
      <c r="W48" s="20">
        <f>IF('Assurance and gate'!K48="","",'Assurance and gate'!K48)</f>
      </c>
      <c r="X48" s="20">
        <f>IF(IF('Technology direction'!D48="",'Technology direction'!C48,'Technology direction'!D48)="","",IF('Technology direction'!D48="",'Technology direction'!C48,'Technology direction'!D48))</f>
      </c>
      <c r="Y48" s="20">
        <f>IF('Technology direction'!H48="","",'Technology direction'!H48)</f>
      </c>
      <c r="Z48" s="20">
        <f>IF('Answers out'!K48="","",'Answers out'!K48)</f>
      </c>
      <c r="AA48" s="20">
        <f>IF('Answers out'!C48="","",'Answers out'!C48)</f>
      </c>
      <c r="AB48" s="21">
        <f>IF('Answers out'!N48="","",'Answers out'!N48)</f>
      </c>
    </row>
    <row r="49" ht="30" customHeight="1" spans="1:28" x14ac:dyDescent="0.25">
      <c r="A49" s="16"/>
      <c r="B49" s="16"/>
      <c r="C49" s="16"/>
      <c r="D49" s="16"/>
      <c r="E49" s="16"/>
      <c r="F49" s="16"/>
      <c r="G49" s="16"/>
      <c r="H49" s="17"/>
      <c r="I49" s="16"/>
      <c r="J49" s="18">
        <f>IF(Scoring!N49="","",ROUND(Scoring!N49/3,1))</f>
      </c>
      <c r="K49" s="18">
        <f>IF(Scoring!M49="","",ROUND(Scoring!M49/3,1))</f>
      </c>
      <c r="L49" s="18">
        <f>IF(Scoring!L49="","",ROUND(Scoring!L49/3,1))</f>
      </c>
      <c r="M49" s="19"/>
      <c r="N49" s="18">
        <f>IF(COUNT(J49:M49)&lt;4,"",SUM(J49:M49))</f>
      </c>
      <c r="O49" s="16"/>
      <c r="P49" s="16"/>
      <c r="Q49" s="16"/>
      <c r="R49" s="16"/>
      <c r="S49" s="16"/>
      <c r="T49" s="20">
        <f>IF(COUNTBLANK(O49:S49)&gt;0,"",IF(P49="Yes","Predictive or optimisation",IF(O49="No","Automation",IF(AND(Q49="Yes",R49="Yes",S49="Yes"),"Agent",IF(AND(Q49="No",R49="No"),"Retrieval","LLM-augmented workflow")))))</f>
      </c>
      <c r="U49" s="16"/>
      <c r="V49" s="20">
        <f>IF(U49="","",IF(U49="Automation","Power Automate, Logic Apps or code. No AI governance.",IF(U49="Predictive or optimisation","Fabric data science, Azure ML or a prebuilt Foundry model. Model governance, not agent governance.",IF(U49="Retrieval","SharePoint agent, Copilot Studio retrieval agent or classic RAG. Light governance.",IF(U49="LLM-augmented workflow","A flow with one AI action, or a scheduled prompt. Governance proportional to consequence.","Agent. Continue to Stage 2.")))))</f>
      </c>
      <c r="W49" s="20">
        <f>IF('Assurance and gate'!K49="","",'Assurance and gate'!K49)</f>
      </c>
      <c r="X49" s="20">
        <f>IF(IF('Technology direction'!D49="",'Technology direction'!C49,'Technology direction'!D49)="","",IF('Technology direction'!D49="",'Technology direction'!C49,'Technology direction'!D49))</f>
      </c>
      <c r="Y49" s="20">
        <f>IF('Technology direction'!H49="","",'Technology direction'!H49)</f>
      </c>
      <c r="Z49" s="20">
        <f>IF('Answers out'!K49="","",'Answers out'!K49)</f>
      </c>
      <c r="AA49" s="20">
        <f>IF('Answers out'!C49="","",'Answers out'!C49)</f>
      </c>
      <c r="AB49" s="21">
        <f>IF('Answers out'!N49="","",'Answers out'!N49)</f>
      </c>
    </row>
    <row r="50" ht="30" customHeight="1" spans="1:28" x14ac:dyDescent="0.25">
      <c r="A50" s="16"/>
      <c r="B50" s="16"/>
      <c r="C50" s="16"/>
      <c r="D50" s="16"/>
      <c r="E50" s="16"/>
      <c r="F50" s="16"/>
      <c r="G50" s="16"/>
      <c r="H50" s="17"/>
      <c r="I50" s="16"/>
      <c r="J50" s="18">
        <f>IF(Scoring!N50="","",ROUND(Scoring!N50/3,1))</f>
      </c>
      <c r="K50" s="18">
        <f>IF(Scoring!M50="","",ROUND(Scoring!M50/3,1))</f>
      </c>
      <c r="L50" s="18">
        <f>IF(Scoring!L50="","",ROUND(Scoring!L50/3,1))</f>
      </c>
      <c r="M50" s="19"/>
      <c r="N50" s="18">
        <f>IF(COUNT(J50:M50)&lt;4,"",SUM(J50:M50))</f>
      </c>
      <c r="O50" s="16"/>
      <c r="P50" s="16"/>
      <c r="Q50" s="16"/>
      <c r="R50" s="16"/>
      <c r="S50" s="16"/>
      <c r="T50" s="20">
        <f>IF(COUNTBLANK(O50:S50)&gt;0,"",IF(P50="Yes","Predictive or optimisation",IF(O50="No","Automation",IF(AND(Q50="Yes",R50="Yes",S50="Yes"),"Agent",IF(AND(Q50="No",R50="No"),"Retrieval","LLM-augmented workflow")))))</f>
      </c>
      <c r="U50" s="16"/>
      <c r="V50" s="20">
        <f>IF(U50="","",IF(U50="Automation","Power Automate, Logic Apps or code. No AI governance.",IF(U50="Predictive or optimisation","Fabric data science, Azure ML or a prebuilt Foundry model. Model governance, not agent governance.",IF(U50="Retrieval","SharePoint agent, Copilot Studio retrieval agent or classic RAG. Light governance.",IF(U50="LLM-augmented workflow","A flow with one AI action, or a scheduled prompt. Governance proportional to consequence.","Agent. Continue to Stage 2.")))))</f>
      </c>
      <c r="W50" s="20">
        <f>IF('Assurance and gate'!K50="","",'Assurance and gate'!K50)</f>
      </c>
      <c r="X50" s="20">
        <f>IF(IF('Technology direction'!D50="",'Technology direction'!C50,'Technology direction'!D50)="","",IF('Technology direction'!D50="",'Technology direction'!C50,'Technology direction'!D50))</f>
      </c>
      <c r="Y50" s="20">
        <f>IF('Technology direction'!H50="","",'Technology direction'!H50)</f>
      </c>
      <c r="Z50" s="20">
        <f>IF('Answers out'!K50="","",'Answers out'!K50)</f>
      </c>
      <c r="AA50" s="20">
        <f>IF('Answers out'!C50="","",'Answers out'!C50)</f>
      </c>
      <c r="AB50" s="21">
        <f>IF('Answers out'!N50="","",'Answers out'!N50)</f>
      </c>
    </row>
    <row r="51" ht="30" customHeight="1" spans="1:28" x14ac:dyDescent="0.25">
      <c r="A51" s="16"/>
      <c r="B51" s="16"/>
      <c r="C51" s="16"/>
      <c r="D51" s="16"/>
      <c r="E51" s="16"/>
      <c r="F51" s="16"/>
      <c r="G51" s="16"/>
      <c r="H51" s="17"/>
      <c r="I51" s="16"/>
      <c r="J51" s="18">
        <f>IF(Scoring!N51="","",ROUND(Scoring!N51/3,1))</f>
      </c>
      <c r="K51" s="18">
        <f>IF(Scoring!M51="","",ROUND(Scoring!M51/3,1))</f>
      </c>
      <c r="L51" s="18">
        <f>IF(Scoring!L51="","",ROUND(Scoring!L51/3,1))</f>
      </c>
      <c r="M51" s="19"/>
      <c r="N51" s="18">
        <f>IF(COUNT(J51:M51)&lt;4,"",SUM(J51:M51))</f>
      </c>
      <c r="O51" s="16"/>
      <c r="P51" s="16"/>
      <c r="Q51" s="16"/>
      <c r="R51" s="16"/>
      <c r="S51" s="16"/>
      <c r="T51" s="20">
        <f>IF(COUNTBLANK(O51:S51)&gt;0,"",IF(P51="Yes","Predictive or optimisation",IF(O51="No","Automation",IF(AND(Q51="Yes",R51="Yes",S51="Yes"),"Agent",IF(AND(Q51="No",R51="No"),"Retrieval","LLM-augmented workflow")))))</f>
      </c>
      <c r="U51" s="16"/>
      <c r="V51" s="20">
        <f>IF(U51="","",IF(U51="Automation","Power Automate, Logic Apps or code. No AI governance.",IF(U51="Predictive or optimisation","Fabric data science, Azure ML or a prebuilt Foundry model. Model governance, not agent governance.",IF(U51="Retrieval","SharePoint agent, Copilot Studio retrieval agent or classic RAG. Light governance.",IF(U51="LLM-augmented workflow","A flow with one AI action, or a scheduled prompt. Governance proportional to consequence.","Agent. Continue to Stage 2.")))))</f>
      </c>
      <c r="W51" s="20">
        <f>IF('Assurance and gate'!K51="","",'Assurance and gate'!K51)</f>
      </c>
      <c r="X51" s="20">
        <f>IF(IF('Technology direction'!D51="",'Technology direction'!C51,'Technology direction'!D51)="","",IF('Technology direction'!D51="",'Technology direction'!C51,'Technology direction'!D51))</f>
      </c>
      <c r="Y51" s="20">
        <f>IF('Technology direction'!H51="","",'Technology direction'!H51)</f>
      </c>
      <c r="Z51" s="20">
        <f>IF('Answers out'!K51="","",'Answers out'!K51)</f>
      </c>
      <c r="AA51" s="20">
        <f>IF('Answers out'!C51="","",'Answers out'!C51)</f>
      </c>
      <c r="AB51" s="21">
        <f>IF('Answers out'!N51="","",'Answers out'!N51)</f>
      </c>
    </row>
    <row r="52" ht="30" customHeight="1" spans="1:28" x14ac:dyDescent="0.25">
      <c r="A52" s="16"/>
      <c r="B52" s="16"/>
      <c r="C52" s="16"/>
      <c r="D52" s="16"/>
      <c r="E52" s="16"/>
      <c r="F52" s="16"/>
      <c r="G52" s="16"/>
      <c r="H52" s="17"/>
      <c r="I52" s="16"/>
      <c r="J52" s="18">
        <f>IF(Scoring!N52="","",ROUND(Scoring!N52/3,1))</f>
      </c>
      <c r="K52" s="18">
        <f>IF(Scoring!M52="","",ROUND(Scoring!M52/3,1))</f>
      </c>
      <c r="L52" s="18">
        <f>IF(Scoring!L52="","",ROUND(Scoring!L52/3,1))</f>
      </c>
      <c r="M52" s="19"/>
      <c r="N52" s="18">
        <f>IF(COUNT(J52:M52)&lt;4,"",SUM(J52:M52))</f>
      </c>
      <c r="O52" s="16"/>
      <c r="P52" s="16"/>
      <c r="Q52" s="16"/>
      <c r="R52" s="16"/>
      <c r="S52" s="16"/>
      <c r="T52" s="20">
        <f>IF(COUNTBLANK(O52:S52)&gt;0,"",IF(P52="Yes","Predictive or optimisation",IF(O52="No","Automation",IF(AND(Q52="Yes",R52="Yes",S52="Yes"),"Agent",IF(AND(Q52="No",R52="No"),"Retrieval","LLM-augmented workflow")))))</f>
      </c>
      <c r="U52" s="16"/>
      <c r="V52" s="20">
        <f>IF(U52="","",IF(U52="Automation","Power Automate, Logic Apps or code. No AI governance.",IF(U52="Predictive or optimisation","Fabric data science, Azure ML or a prebuilt Foundry model. Model governance, not agent governance.",IF(U52="Retrieval","SharePoint agent, Copilot Studio retrieval agent or classic RAG. Light governance.",IF(U52="LLM-augmented workflow","A flow with one AI action, or a scheduled prompt. Governance proportional to consequence.","Agent. Continue to Stage 2.")))))</f>
      </c>
      <c r="W52" s="20">
        <f>IF('Assurance and gate'!K52="","",'Assurance and gate'!K52)</f>
      </c>
      <c r="X52" s="20">
        <f>IF(IF('Technology direction'!D52="",'Technology direction'!C52,'Technology direction'!D52)="","",IF('Technology direction'!D52="",'Technology direction'!C52,'Technology direction'!D52))</f>
      </c>
      <c r="Y52" s="20">
        <f>IF('Technology direction'!H52="","",'Technology direction'!H52)</f>
      </c>
      <c r="Z52" s="20">
        <f>IF('Answers out'!K52="","",'Answers out'!K52)</f>
      </c>
      <c r="AA52" s="20">
        <f>IF('Answers out'!C52="","",'Answers out'!C52)</f>
      </c>
      <c r="AB52" s="21">
        <f>IF('Answers out'!N52="","",'Answers out'!N52)</f>
      </c>
    </row>
  </sheetData>
  <autoFilter ref="A2:AB52"/>
  <mergeCells count="4">
    <mergeCell ref="A1:I1"/>
    <mergeCell ref="J1:N1"/>
    <mergeCell ref="O1:V1"/>
    <mergeCell ref="W1:AB1"/>
  </mergeCells>
  <conditionalFormatting sqref="W3:W52">
    <cfRule type="containsText" dxfId="0" priority="1">
      <formula>NOT(ISERROR(SEARCH("Full assurance",W3)))</formula>
    </cfRule>
    <cfRule type="containsText" dxfId="1" priority="2">
      <formula>NOT(ISERROR(SEARCH("Light touch",W3)))</formula>
    </cfRule>
  </conditionalFormatting>
  <conditionalFormatting sqref="AA3:AA52">
    <cfRule type="containsText" dxfId="2" priority="1">
      <formula>NOT(ISERROR(SEARCH("Quick win",AA3)))</formula>
    </cfRule>
  </conditionalFormatting>
  <dataValidations count="8">
    <dataValidation type="list" allowBlank="1" sqref="B10:B52">
      <formula1>Lists!$U$3:$U$5</formula1>
    </dataValidation>
    <dataValidation type="list" allowBlank="1" sqref="B3:B52">
      <formula1>Lists!$U$3:$U$5</formula1>
    </dataValidation>
    <dataValidation type="list" allowBlank="1" sqref="G10:G52">
      <formula1>Lists!$A$3:$A$12</formula1>
    </dataValidation>
    <dataValidation type="list" allowBlank="1" sqref="G3:G52">
      <formula1>Lists!$A$3:$A$12</formula1>
    </dataValidation>
    <dataValidation type="list" allowBlank="1" sqref="O10:S52">
      <formula1>Lists!$M$3:$M$5</formula1>
    </dataValidation>
    <dataValidation type="list" allowBlank="1" sqref="O3:S52">
      <formula1>Lists!$M$3:$M$5</formula1>
    </dataValidation>
    <dataValidation type="list" allowBlank="1" sqref="U10:U52">
      <formula1>Lists!$B$3:$B$7</formula1>
    </dataValidation>
    <dataValidation type="list" allowBlank="1" sqref="U3:U52">
      <formula1>Lists!$B$3:$B$7</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575"/>
  </sheetPr>
  <dimension ref="A1:Y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3" width="36" customWidth="1"/>
    <col min="4" max="4" width="20" customWidth="1"/>
    <col min="5" max="6" width="13" customWidth="1"/>
    <col min="7" max="8" width="16" customWidth="1"/>
    <col min="9" max="9" width="34" customWidth="1"/>
    <col min="10" max="12" width="20" customWidth="1"/>
    <col min="13" max="16" width="12" customWidth="1"/>
    <col min="17" max="17" width="13" customWidth="1"/>
    <col min="18" max="18" width="16" customWidth="1"/>
    <col min="19" max="19" width="26" customWidth="1"/>
    <col min="20" max="20" width="20" customWidth="1"/>
    <col min="21" max="21" width="11" customWidth="1"/>
    <col min="22" max="23" width="14" customWidth="1"/>
    <col min="24" max="24" width="12" customWidth="1"/>
    <col min="25" max="25" width="34" customWidth="1"/>
  </cols>
  <sheetData>
    <row r="1" ht="20" customHeight="1" spans="1:25" x14ac:dyDescent="0.25">
      <c r="A1" s="11" t="s">
        <v>331</v>
      </c>
      <c r="B1" s="11"/>
      <c r="C1" s="22" t="s">
        <v>332</v>
      </c>
      <c r="D1" s="22"/>
      <c r="E1" s="22"/>
      <c r="F1" s="22"/>
      <c r="G1" s="22"/>
      <c r="H1" s="22"/>
      <c r="I1" s="22"/>
      <c r="J1" s="22"/>
      <c r="K1" s="22"/>
      <c r="L1" s="22"/>
      <c r="M1" s="13" t="s">
        <v>333</v>
      </c>
      <c r="N1" s="13"/>
      <c r="O1" s="13"/>
      <c r="P1" s="13"/>
      <c r="Q1" s="13"/>
      <c r="R1" s="13"/>
      <c r="S1" s="13"/>
      <c r="T1" s="13"/>
      <c r="U1" s="13"/>
      <c r="V1" s="14" t="s">
        <v>334</v>
      </c>
      <c r="W1" s="14"/>
      <c r="X1" s="14"/>
      <c r="Y1" s="14"/>
    </row>
    <row r="2" ht="48" customHeight="1" spans="1:25" x14ac:dyDescent="0.25">
      <c r="A2" s="15" t="s">
        <v>296</v>
      </c>
      <c r="B2" s="15" t="s">
        <v>335</v>
      </c>
      <c r="C2" s="15" t="s">
        <v>336</v>
      </c>
      <c r="D2" s="15" t="s">
        <v>337</v>
      </c>
      <c r="E2" s="15" t="s">
        <v>338</v>
      </c>
      <c r="F2" s="15" t="s">
        <v>339</v>
      </c>
      <c r="G2" s="15" t="s">
        <v>340</v>
      </c>
      <c r="H2" s="15" t="s">
        <v>341</v>
      </c>
      <c r="I2" s="15" t="s">
        <v>342</v>
      </c>
      <c r="J2" s="15" t="s">
        <v>343</v>
      </c>
      <c r="K2" s="15" t="s">
        <v>344</v>
      </c>
      <c r="L2" s="15" t="s">
        <v>345</v>
      </c>
      <c r="M2" s="15" t="s">
        <v>346</v>
      </c>
      <c r="N2" s="15" t="s">
        <v>347</v>
      </c>
      <c r="O2" s="15" t="s">
        <v>348</v>
      </c>
      <c r="P2" s="15" t="s">
        <v>349</v>
      </c>
      <c r="Q2" s="15" t="s">
        <v>350</v>
      </c>
      <c r="R2" s="15" t="s">
        <v>351</v>
      </c>
      <c r="S2" s="15" t="s">
        <v>352</v>
      </c>
      <c r="T2" s="15" t="s">
        <v>16</v>
      </c>
      <c r="U2" s="15" t="s">
        <v>17</v>
      </c>
      <c r="V2" s="15" t="s">
        <v>353</v>
      </c>
      <c r="W2" s="15" t="s">
        <v>354</v>
      </c>
      <c r="X2" s="15" t="s">
        <v>355</v>
      </c>
      <c r="Y2" s="15" t="s">
        <v>356</v>
      </c>
    </row>
    <row r="3" ht="30" customHeight="1" spans="1:25" x14ac:dyDescent="0.25">
      <c r="A3" s="20">
        <f>IF(Register!A3="","",Register!A3)</f>
      </c>
      <c r="B3" s="20">
        <f>IF(Register!C3="","",Register!C3)</f>
      </c>
      <c r="C3" s="16" t="s">
        <v>357</v>
      </c>
      <c r="D3" s="16" t="s">
        <v>358</v>
      </c>
      <c r="E3" s="16" t="s">
        <v>359</v>
      </c>
      <c r="F3" s="16" t="s">
        <v>360</v>
      </c>
      <c r="G3" s="16" t="s">
        <v>361</v>
      </c>
      <c r="H3" s="16" t="s">
        <v>362</v>
      </c>
      <c r="I3" s="16" t="s">
        <v>363</v>
      </c>
      <c r="J3" s="16" t="s">
        <v>364</v>
      </c>
      <c r="K3" s="16" t="s">
        <v>365</v>
      </c>
      <c r="L3" s="16" t="s">
        <v>366</v>
      </c>
      <c r="M3" s="23">
        <v>480</v>
      </c>
      <c r="N3" s="23">
        <v>6</v>
      </c>
      <c r="O3" s="24">
        <v>12</v>
      </c>
      <c r="P3" s="25">
        <v>0.08</v>
      </c>
      <c r="Q3" s="26">
        <v>35</v>
      </c>
      <c r="R3" s="20">
        <f>IF(E3="","",E3)</f>
      </c>
      <c r="S3" s="16" t="s">
        <v>367</v>
      </c>
      <c r="T3" s="16" t="s">
        <v>37</v>
      </c>
      <c r="U3" s="16" t="s">
        <v>38</v>
      </c>
      <c r="V3" s="27">
        <f>IF(COUNT(M3:O3)&lt;3,"",M3*N3*O3/60)</f>
      </c>
      <c r="W3" s="27">
        <f>IF(COUNT(M3,N3,P3,Q3)&lt;4,"",M3*N3*P3*Q3)</f>
      </c>
      <c r="X3" s="21">
        <f>IF(B3="","",(6-COUNTBLANK(M3)-COUNTBLANK(N3)-COUNTBLANK(O3)-COUNTBLANK(P3)-COUNTBLANK(Q3)-COUNTBLANK(S3))/6)</f>
      </c>
      <c r="Y3" s="16"/>
    </row>
    <row r="4" ht="30" customHeight="1" spans="1:25" x14ac:dyDescent="0.25">
      <c r="A4" s="20">
        <f>IF(Register!A4="","",Register!A4)</f>
      </c>
      <c r="B4" s="20">
        <f>IF(Register!C4="","",Register!C4)</f>
      </c>
      <c r="C4" s="16" t="s">
        <v>368</v>
      </c>
      <c r="D4" s="16" t="s">
        <v>369</v>
      </c>
      <c r="E4" s="16" t="s">
        <v>370</v>
      </c>
      <c r="F4" s="16" t="s">
        <v>371</v>
      </c>
      <c r="G4" s="16" t="s">
        <v>372</v>
      </c>
      <c r="H4" s="16" t="s">
        <v>324</v>
      </c>
      <c r="I4" s="16" t="s">
        <v>373</v>
      </c>
      <c r="J4" s="16" t="s">
        <v>374</v>
      </c>
      <c r="K4" s="16" t="s">
        <v>375</v>
      </c>
      <c r="L4" s="16" t="s">
        <v>376</v>
      </c>
      <c r="M4" s="23">
        <v>620</v>
      </c>
      <c r="N4" s="23">
        <v>210</v>
      </c>
      <c r="O4" s="24">
        <v>45</v>
      </c>
      <c r="P4" s="25">
        <v>0.12</v>
      </c>
      <c r="Q4" s="26">
        <v>60</v>
      </c>
      <c r="R4" s="20">
        <f>IF(E4="","",E4)</f>
      </c>
      <c r="S4" s="16" t="s">
        <v>377</v>
      </c>
      <c r="T4" s="16" t="s">
        <v>106</v>
      </c>
      <c r="U4" s="16" t="s">
        <v>60</v>
      </c>
      <c r="V4" s="27">
        <f>IF(COUNT(M4:O4)&lt;3,"",M4*N4*O4/60)</f>
      </c>
      <c r="W4" s="27">
        <f>IF(COUNT(M4,N4,P4,Q4)&lt;4,"",M4*N4*P4*Q4)</f>
      </c>
      <c r="X4" s="21">
        <f>IF(B4="","",(6-COUNTBLANK(M4)-COUNTBLANK(N4)-COUNTBLANK(O4)-COUNTBLANK(P4)-COUNTBLANK(Q4)-COUNTBLANK(S4))/6)</f>
      </c>
      <c r="Y4" s="16"/>
    </row>
    <row r="5" ht="30" customHeight="1" spans="1:25" x14ac:dyDescent="0.25">
      <c r="A5" s="20">
        <f>IF(Register!A5="","",Register!A5)</f>
      </c>
      <c r="B5" s="20">
        <f>IF(Register!C5="","",Register!C5)</f>
      </c>
      <c r="C5" s="16"/>
      <c r="D5" s="16"/>
      <c r="E5" s="16"/>
      <c r="F5" s="16"/>
      <c r="G5" s="16"/>
      <c r="H5" s="16"/>
      <c r="I5" s="16"/>
      <c r="J5" s="16"/>
      <c r="K5" s="16"/>
      <c r="L5" s="16"/>
      <c r="M5" s="23"/>
      <c r="N5" s="23"/>
      <c r="O5" s="24"/>
      <c r="P5" s="25"/>
      <c r="Q5" s="26"/>
      <c r="R5" s="20">
        <f>IF(E5="","",E5)</f>
      </c>
      <c r="S5" s="16"/>
      <c r="T5" s="16"/>
      <c r="U5" s="16"/>
      <c r="V5" s="27">
        <f>IF(COUNT(M5:O5)&lt;3,"",M5*N5*O5/60)</f>
      </c>
      <c r="W5" s="27">
        <f>IF(COUNT(M5,N5,P5,Q5)&lt;4,"",M5*N5*P5*Q5)</f>
      </c>
      <c r="X5" s="21">
        <f>IF(B5="","",(6-COUNTBLANK(M5)-COUNTBLANK(N5)-COUNTBLANK(O5)-COUNTBLANK(P5)-COUNTBLANK(Q5)-COUNTBLANK(S5))/6)</f>
      </c>
      <c r="Y5" s="16"/>
    </row>
    <row r="6" ht="30" customHeight="1" spans="1:25" x14ac:dyDescent="0.25">
      <c r="A6" s="20">
        <f>IF(Register!A6="","",Register!A6)</f>
      </c>
      <c r="B6" s="20">
        <f>IF(Register!C6="","",Register!C6)</f>
      </c>
      <c r="C6" s="16"/>
      <c r="D6" s="16"/>
      <c r="E6" s="16"/>
      <c r="F6" s="16"/>
      <c r="G6" s="16"/>
      <c r="H6" s="16"/>
      <c r="I6" s="16"/>
      <c r="J6" s="16"/>
      <c r="K6" s="16"/>
      <c r="L6" s="16"/>
      <c r="M6" s="23"/>
      <c r="N6" s="23"/>
      <c r="O6" s="24"/>
      <c r="P6" s="25"/>
      <c r="Q6" s="26"/>
      <c r="R6" s="20">
        <f>IF(E6="","",E6)</f>
      </c>
      <c r="S6" s="16"/>
      <c r="T6" s="16"/>
      <c r="U6" s="16"/>
      <c r="V6" s="27">
        <f>IF(COUNT(M6:O6)&lt;3,"",M6*N6*O6/60)</f>
      </c>
      <c r="W6" s="27">
        <f>IF(COUNT(M6,N6,P6,Q6)&lt;4,"",M6*N6*P6*Q6)</f>
      </c>
      <c r="X6" s="21">
        <f>IF(B6="","",(6-COUNTBLANK(M6)-COUNTBLANK(N6)-COUNTBLANK(O6)-COUNTBLANK(P6)-COUNTBLANK(Q6)-COUNTBLANK(S6))/6)</f>
      </c>
      <c r="Y6" s="16"/>
    </row>
    <row r="7" ht="30" customHeight="1" spans="1:25" x14ac:dyDescent="0.25">
      <c r="A7" s="20">
        <f>IF(Register!A7="","",Register!A7)</f>
      </c>
      <c r="B7" s="20">
        <f>IF(Register!C7="","",Register!C7)</f>
      </c>
      <c r="C7" s="16"/>
      <c r="D7" s="16"/>
      <c r="E7" s="16"/>
      <c r="F7" s="16"/>
      <c r="G7" s="16"/>
      <c r="H7" s="16"/>
      <c r="I7" s="16"/>
      <c r="J7" s="16"/>
      <c r="K7" s="16"/>
      <c r="L7" s="16"/>
      <c r="M7" s="23"/>
      <c r="N7" s="23"/>
      <c r="O7" s="24"/>
      <c r="P7" s="25"/>
      <c r="Q7" s="26"/>
      <c r="R7" s="20">
        <f>IF(E7="","",E7)</f>
      </c>
      <c r="S7" s="16"/>
      <c r="T7" s="16"/>
      <c r="U7" s="16"/>
      <c r="V7" s="27">
        <f>IF(COUNT(M7:O7)&lt;3,"",M7*N7*O7/60)</f>
      </c>
      <c r="W7" s="27">
        <f>IF(COUNT(M7,N7,P7,Q7)&lt;4,"",M7*N7*P7*Q7)</f>
      </c>
      <c r="X7" s="21">
        <f>IF(B7="","",(6-COUNTBLANK(M7)-COUNTBLANK(N7)-COUNTBLANK(O7)-COUNTBLANK(P7)-COUNTBLANK(Q7)-COUNTBLANK(S7))/6)</f>
      </c>
      <c r="Y7" s="16"/>
    </row>
    <row r="8" ht="30" customHeight="1" spans="1:25" x14ac:dyDescent="0.25">
      <c r="A8" s="20">
        <f>IF(Register!A8="","",Register!A8)</f>
      </c>
      <c r="B8" s="20">
        <f>IF(Register!C8="","",Register!C8)</f>
      </c>
      <c r="C8" s="16"/>
      <c r="D8" s="16"/>
      <c r="E8" s="16"/>
      <c r="F8" s="16"/>
      <c r="G8" s="16"/>
      <c r="H8" s="16"/>
      <c r="I8" s="16"/>
      <c r="J8" s="16"/>
      <c r="K8" s="16"/>
      <c r="L8" s="16"/>
      <c r="M8" s="23"/>
      <c r="N8" s="23"/>
      <c r="O8" s="24"/>
      <c r="P8" s="25"/>
      <c r="Q8" s="26"/>
      <c r="R8" s="20">
        <f>IF(E8="","",E8)</f>
      </c>
      <c r="S8" s="16"/>
      <c r="T8" s="16"/>
      <c r="U8" s="16"/>
      <c r="V8" s="27">
        <f>IF(COUNT(M8:O8)&lt;3,"",M8*N8*O8/60)</f>
      </c>
      <c r="W8" s="27">
        <f>IF(COUNT(M8,N8,P8,Q8)&lt;4,"",M8*N8*P8*Q8)</f>
      </c>
      <c r="X8" s="21">
        <f>IF(B8="","",(6-COUNTBLANK(M8)-COUNTBLANK(N8)-COUNTBLANK(O8)-COUNTBLANK(P8)-COUNTBLANK(Q8)-COUNTBLANK(S8))/6)</f>
      </c>
      <c r="Y8" s="16"/>
    </row>
    <row r="9" ht="30" customHeight="1" spans="1:25" x14ac:dyDescent="0.25">
      <c r="A9" s="20">
        <f>IF(Register!A9="","",Register!A9)</f>
      </c>
      <c r="B9" s="20">
        <f>IF(Register!C9="","",Register!C9)</f>
      </c>
      <c r="C9" s="16"/>
      <c r="D9" s="16"/>
      <c r="E9" s="16"/>
      <c r="F9" s="16"/>
      <c r="G9" s="16"/>
      <c r="H9" s="16"/>
      <c r="I9" s="16"/>
      <c r="J9" s="16"/>
      <c r="K9" s="16"/>
      <c r="L9" s="16"/>
      <c r="M9" s="23"/>
      <c r="N9" s="23"/>
      <c r="O9" s="24"/>
      <c r="P9" s="25"/>
      <c r="Q9" s="26"/>
      <c r="R9" s="20">
        <f>IF(E9="","",E9)</f>
      </c>
      <c r="S9" s="16"/>
      <c r="T9" s="16"/>
      <c r="U9" s="16"/>
      <c r="V9" s="27">
        <f>IF(COUNT(M9:O9)&lt;3,"",M9*N9*O9/60)</f>
      </c>
      <c r="W9" s="27">
        <f>IF(COUNT(M9,N9,P9,Q9)&lt;4,"",M9*N9*P9*Q9)</f>
      </c>
      <c r="X9" s="21">
        <f>IF(B9="","",(6-COUNTBLANK(M9)-COUNTBLANK(N9)-COUNTBLANK(O9)-COUNTBLANK(P9)-COUNTBLANK(Q9)-COUNTBLANK(S9))/6)</f>
      </c>
      <c r="Y9" s="16"/>
    </row>
    <row r="10" ht="30" customHeight="1" spans="1:25" x14ac:dyDescent="0.25">
      <c r="A10" s="20">
        <f>IF(Register!A10="","",Register!A10)</f>
      </c>
      <c r="B10" s="20">
        <f>IF(Register!C10="","",Register!C10)</f>
      </c>
      <c r="C10" s="16"/>
      <c r="D10" s="16"/>
      <c r="E10" s="16"/>
      <c r="F10" s="16"/>
      <c r="G10" s="16"/>
      <c r="H10" s="16"/>
      <c r="I10" s="16"/>
      <c r="J10" s="16"/>
      <c r="K10" s="16"/>
      <c r="L10" s="16"/>
      <c r="M10" s="23"/>
      <c r="N10" s="23"/>
      <c r="O10" s="24"/>
      <c r="P10" s="25"/>
      <c r="Q10" s="26"/>
      <c r="R10" s="20">
        <f>IF(E10="","",E10)</f>
      </c>
      <c r="S10" s="16"/>
      <c r="T10" s="16"/>
      <c r="U10" s="16"/>
      <c r="V10" s="27">
        <f>IF(COUNT(M10:O10)&lt;3,"",M10*N10*O10/60)</f>
      </c>
      <c r="W10" s="27">
        <f>IF(COUNT(M10,N10,P10,Q10)&lt;4,"",M10*N10*P10*Q10)</f>
      </c>
      <c r="X10" s="21">
        <f>IF(B10="","",(6-COUNTBLANK(M10)-COUNTBLANK(N10)-COUNTBLANK(O10)-COUNTBLANK(P10)-COUNTBLANK(Q10)-COUNTBLANK(S10))/6)</f>
      </c>
      <c r="Y10" s="16"/>
    </row>
    <row r="11" ht="30" customHeight="1" spans="1:25" x14ac:dyDescent="0.25">
      <c r="A11" s="20">
        <f>IF(Register!A11="","",Register!A11)</f>
      </c>
      <c r="B11" s="20">
        <f>IF(Register!C11="","",Register!C11)</f>
      </c>
      <c r="C11" s="16"/>
      <c r="D11" s="16"/>
      <c r="E11" s="16"/>
      <c r="F11" s="16"/>
      <c r="G11" s="16"/>
      <c r="H11" s="16"/>
      <c r="I11" s="16"/>
      <c r="J11" s="16"/>
      <c r="K11" s="16"/>
      <c r="L11" s="16"/>
      <c r="M11" s="23"/>
      <c r="N11" s="23"/>
      <c r="O11" s="24"/>
      <c r="P11" s="25"/>
      <c r="Q11" s="26"/>
      <c r="R11" s="20">
        <f>IF(E11="","",E11)</f>
      </c>
      <c r="S11" s="16"/>
      <c r="T11" s="16"/>
      <c r="U11" s="16"/>
      <c r="V11" s="27">
        <f>IF(COUNT(M11:O11)&lt;3,"",M11*N11*O11/60)</f>
      </c>
      <c r="W11" s="27">
        <f>IF(COUNT(M11,N11,P11,Q11)&lt;4,"",M11*N11*P11*Q11)</f>
      </c>
      <c r="X11" s="21">
        <f>IF(B11="","",(6-COUNTBLANK(M11)-COUNTBLANK(N11)-COUNTBLANK(O11)-COUNTBLANK(P11)-COUNTBLANK(Q11)-COUNTBLANK(S11))/6)</f>
      </c>
      <c r="Y11" s="16"/>
    </row>
    <row r="12" ht="30" customHeight="1" spans="1:25" x14ac:dyDescent="0.25">
      <c r="A12" s="20">
        <f>IF(Register!A12="","",Register!A12)</f>
      </c>
      <c r="B12" s="20">
        <f>IF(Register!C12="","",Register!C12)</f>
      </c>
      <c r="C12" s="16"/>
      <c r="D12" s="16"/>
      <c r="E12" s="16"/>
      <c r="F12" s="16"/>
      <c r="G12" s="16"/>
      <c r="H12" s="16"/>
      <c r="I12" s="16"/>
      <c r="J12" s="16"/>
      <c r="K12" s="16"/>
      <c r="L12" s="16"/>
      <c r="M12" s="23"/>
      <c r="N12" s="23"/>
      <c r="O12" s="24"/>
      <c r="P12" s="25"/>
      <c r="Q12" s="26"/>
      <c r="R12" s="20">
        <f>IF(E12="","",E12)</f>
      </c>
      <c r="S12" s="16"/>
      <c r="T12" s="16"/>
      <c r="U12" s="16"/>
      <c r="V12" s="27">
        <f>IF(COUNT(M12:O12)&lt;3,"",M12*N12*O12/60)</f>
      </c>
      <c r="W12" s="27">
        <f>IF(COUNT(M12,N12,P12,Q12)&lt;4,"",M12*N12*P12*Q12)</f>
      </c>
      <c r="X12" s="21">
        <f>IF(B12="","",(6-COUNTBLANK(M12)-COUNTBLANK(N12)-COUNTBLANK(O12)-COUNTBLANK(P12)-COUNTBLANK(Q12)-COUNTBLANK(S12))/6)</f>
      </c>
      <c r="Y12" s="16"/>
    </row>
    <row r="13" ht="30" customHeight="1" spans="1:25" x14ac:dyDescent="0.25">
      <c r="A13" s="20">
        <f>IF(Register!A13="","",Register!A13)</f>
      </c>
      <c r="B13" s="20">
        <f>IF(Register!C13="","",Register!C13)</f>
      </c>
      <c r="C13" s="16"/>
      <c r="D13" s="16"/>
      <c r="E13" s="16"/>
      <c r="F13" s="16"/>
      <c r="G13" s="16"/>
      <c r="H13" s="16"/>
      <c r="I13" s="16"/>
      <c r="J13" s="16"/>
      <c r="K13" s="16"/>
      <c r="L13" s="16"/>
      <c r="M13" s="23"/>
      <c r="N13" s="23"/>
      <c r="O13" s="24"/>
      <c r="P13" s="25"/>
      <c r="Q13" s="26"/>
      <c r="R13" s="20">
        <f>IF(E13="","",E13)</f>
      </c>
      <c r="S13" s="16"/>
      <c r="T13" s="16"/>
      <c r="U13" s="16"/>
      <c r="V13" s="27">
        <f>IF(COUNT(M13:O13)&lt;3,"",M13*N13*O13/60)</f>
      </c>
      <c r="W13" s="27">
        <f>IF(COUNT(M13,N13,P13,Q13)&lt;4,"",M13*N13*P13*Q13)</f>
      </c>
      <c r="X13" s="21">
        <f>IF(B13="","",(6-COUNTBLANK(M13)-COUNTBLANK(N13)-COUNTBLANK(O13)-COUNTBLANK(P13)-COUNTBLANK(Q13)-COUNTBLANK(S13))/6)</f>
      </c>
      <c r="Y13" s="16"/>
    </row>
    <row r="14" ht="30" customHeight="1" spans="1:25" x14ac:dyDescent="0.25">
      <c r="A14" s="20">
        <f>IF(Register!A14="","",Register!A14)</f>
      </c>
      <c r="B14" s="20">
        <f>IF(Register!C14="","",Register!C14)</f>
      </c>
      <c r="C14" s="16"/>
      <c r="D14" s="16"/>
      <c r="E14" s="16"/>
      <c r="F14" s="16"/>
      <c r="G14" s="16"/>
      <c r="H14" s="16"/>
      <c r="I14" s="16"/>
      <c r="J14" s="16"/>
      <c r="K14" s="16"/>
      <c r="L14" s="16"/>
      <c r="M14" s="23"/>
      <c r="N14" s="23"/>
      <c r="O14" s="24"/>
      <c r="P14" s="25"/>
      <c r="Q14" s="26"/>
      <c r="R14" s="20">
        <f>IF(E14="","",E14)</f>
      </c>
      <c r="S14" s="16"/>
      <c r="T14" s="16"/>
      <c r="U14" s="16"/>
      <c r="V14" s="27">
        <f>IF(COUNT(M14:O14)&lt;3,"",M14*N14*O14/60)</f>
      </c>
      <c r="W14" s="27">
        <f>IF(COUNT(M14,N14,P14,Q14)&lt;4,"",M14*N14*P14*Q14)</f>
      </c>
      <c r="X14" s="21">
        <f>IF(B14="","",(6-COUNTBLANK(M14)-COUNTBLANK(N14)-COUNTBLANK(O14)-COUNTBLANK(P14)-COUNTBLANK(Q14)-COUNTBLANK(S14))/6)</f>
      </c>
      <c r="Y14" s="16"/>
    </row>
    <row r="15" ht="30" customHeight="1" spans="1:25" x14ac:dyDescent="0.25">
      <c r="A15" s="20">
        <f>IF(Register!A15="","",Register!A15)</f>
      </c>
      <c r="B15" s="20">
        <f>IF(Register!C15="","",Register!C15)</f>
      </c>
      <c r="C15" s="16"/>
      <c r="D15" s="16"/>
      <c r="E15" s="16"/>
      <c r="F15" s="16"/>
      <c r="G15" s="16"/>
      <c r="H15" s="16"/>
      <c r="I15" s="16"/>
      <c r="J15" s="16"/>
      <c r="K15" s="16"/>
      <c r="L15" s="16"/>
      <c r="M15" s="23"/>
      <c r="N15" s="23"/>
      <c r="O15" s="24"/>
      <c r="P15" s="25"/>
      <c r="Q15" s="26"/>
      <c r="R15" s="20">
        <f>IF(E15="","",E15)</f>
      </c>
      <c r="S15" s="16"/>
      <c r="T15" s="16"/>
      <c r="U15" s="16"/>
      <c r="V15" s="27">
        <f>IF(COUNT(M15:O15)&lt;3,"",M15*N15*O15/60)</f>
      </c>
      <c r="W15" s="27">
        <f>IF(COUNT(M15,N15,P15,Q15)&lt;4,"",M15*N15*P15*Q15)</f>
      </c>
      <c r="X15" s="21">
        <f>IF(B15="","",(6-COUNTBLANK(M15)-COUNTBLANK(N15)-COUNTBLANK(O15)-COUNTBLANK(P15)-COUNTBLANK(Q15)-COUNTBLANK(S15))/6)</f>
      </c>
      <c r="Y15" s="16"/>
    </row>
    <row r="16" ht="30" customHeight="1" spans="1:25" x14ac:dyDescent="0.25">
      <c r="A16" s="20">
        <f>IF(Register!A16="","",Register!A16)</f>
      </c>
      <c r="B16" s="20">
        <f>IF(Register!C16="","",Register!C16)</f>
      </c>
      <c r="C16" s="16"/>
      <c r="D16" s="16"/>
      <c r="E16" s="16"/>
      <c r="F16" s="16"/>
      <c r="G16" s="16"/>
      <c r="H16" s="16"/>
      <c r="I16" s="16"/>
      <c r="J16" s="16"/>
      <c r="K16" s="16"/>
      <c r="L16" s="16"/>
      <c r="M16" s="23"/>
      <c r="N16" s="23"/>
      <c r="O16" s="24"/>
      <c r="P16" s="25"/>
      <c r="Q16" s="26"/>
      <c r="R16" s="20">
        <f>IF(E16="","",E16)</f>
      </c>
      <c r="S16" s="16"/>
      <c r="T16" s="16"/>
      <c r="U16" s="16"/>
      <c r="V16" s="27">
        <f>IF(COUNT(M16:O16)&lt;3,"",M16*N16*O16/60)</f>
      </c>
      <c r="W16" s="27">
        <f>IF(COUNT(M16,N16,P16,Q16)&lt;4,"",M16*N16*P16*Q16)</f>
      </c>
      <c r="X16" s="21">
        <f>IF(B16="","",(6-COUNTBLANK(M16)-COUNTBLANK(N16)-COUNTBLANK(O16)-COUNTBLANK(P16)-COUNTBLANK(Q16)-COUNTBLANK(S16))/6)</f>
      </c>
      <c r="Y16" s="16"/>
    </row>
    <row r="17" ht="30" customHeight="1" spans="1:25" x14ac:dyDescent="0.25">
      <c r="A17" s="20">
        <f>IF(Register!A17="","",Register!A17)</f>
      </c>
      <c r="B17" s="20">
        <f>IF(Register!C17="","",Register!C17)</f>
      </c>
      <c r="C17" s="16"/>
      <c r="D17" s="16"/>
      <c r="E17" s="16"/>
      <c r="F17" s="16"/>
      <c r="G17" s="16"/>
      <c r="H17" s="16"/>
      <c r="I17" s="16"/>
      <c r="J17" s="16"/>
      <c r="K17" s="16"/>
      <c r="L17" s="16"/>
      <c r="M17" s="23"/>
      <c r="N17" s="23"/>
      <c r="O17" s="24"/>
      <c r="P17" s="25"/>
      <c r="Q17" s="26"/>
      <c r="R17" s="20">
        <f>IF(E17="","",E17)</f>
      </c>
      <c r="S17" s="16"/>
      <c r="T17" s="16"/>
      <c r="U17" s="16"/>
      <c r="V17" s="27">
        <f>IF(COUNT(M17:O17)&lt;3,"",M17*N17*O17/60)</f>
      </c>
      <c r="W17" s="27">
        <f>IF(COUNT(M17,N17,P17,Q17)&lt;4,"",M17*N17*P17*Q17)</f>
      </c>
      <c r="X17" s="21">
        <f>IF(B17="","",(6-COUNTBLANK(M17)-COUNTBLANK(N17)-COUNTBLANK(O17)-COUNTBLANK(P17)-COUNTBLANK(Q17)-COUNTBLANK(S17))/6)</f>
      </c>
      <c r="Y17" s="16"/>
    </row>
    <row r="18" ht="30" customHeight="1" spans="1:25" x14ac:dyDescent="0.25">
      <c r="A18" s="20">
        <f>IF(Register!A18="","",Register!A18)</f>
      </c>
      <c r="B18" s="20">
        <f>IF(Register!C18="","",Register!C18)</f>
      </c>
      <c r="C18" s="16"/>
      <c r="D18" s="16"/>
      <c r="E18" s="16"/>
      <c r="F18" s="16"/>
      <c r="G18" s="16"/>
      <c r="H18" s="16"/>
      <c r="I18" s="16"/>
      <c r="J18" s="16"/>
      <c r="K18" s="16"/>
      <c r="L18" s="16"/>
      <c r="M18" s="23"/>
      <c r="N18" s="23"/>
      <c r="O18" s="24"/>
      <c r="P18" s="25"/>
      <c r="Q18" s="26"/>
      <c r="R18" s="20">
        <f>IF(E18="","",E18)</f>
      </c>
      <c r="S18" s="16"/>
      <c r="T18" s="16"/>
      <c r="U18" s="16"/>
      <c r="V18" s="27">
        <f>IF(COUNT(M18:O18)&lt;3,"",M18*N18*O18/60)</f>
      </c>
      <c r="W18" s="27">
        <f>IF(COUNT(M18,N18,P18,Q18)&lt;4,"",M18*N18*P18*Q18)</f>
      </c>
      <c r="X18" s="21">
        <f>IF(B18="","",(6-COUNTBLANK(M18)-COUNTBLANK(N18)-COUNTBLANK(O18)-COUNTBLANK(P18)-COUNTBLANK(Q18)-COUNTBLANK(S18))/6)</f>
      </c>
      <c r="Y18" s="16"/>
    </row>
    <row r="19" ht="30" customHeight="1" spans="1:25" x14ac:dyDescent="0.25">
      <c r="A19" s="20">
        <f>IF(Register!A19="","",Register!A19)</f>
      </c>
      <c r="B19" s="20">
        <f>IF(Register!C19="","",Register!C19)</f>
      </c>
      <c r="C19" s="16"/>
      <c r="D19" s="16"/>
      <c r="E19" s="16"/>
      <c r="F19" s="16"/>
      <c r="G19" s="16"/>
      <c r="H19" s="16"/>
      <c r="I19" s="16"/>
      <c r="J19" s="16"/>
      <c r="K19" s="16"/>
      <c r="L19" s="16"/>
      <c r="M19" s="23"/>
      <c r="N19" s="23"/>
      <c r="O19" s="24"/>
      <c r="P19" s="25"/>
      <c r="Q19" s="26"/>
      <c r="R19" s="20">
        <f>IF(E19="","",E19)</f>
      </c>
      <c r="S19" s="16"/>
      <c r="T19" s="16"/>
      <c r="U19" s="16"/>
      <c r="V19" s="27">
        <f>IF(COUNT(M19:O19)&lt;3,"",M19*N19*O19/60)</f>
      </c>
      <c r="W19" s="27">
        <f>IF(COUNT(M19,N19,P19,Q19)&lt;4,"",M19*N19*P19*Q19)</f>
      </c>
      <c r="X19" s="21">
        <f>IF(B19="","",(6-COUNTBLANK(M19)-COUNTBLANK(N19)-COUNTBLANK(O19)-COUNTBLANK(P19)-COUNTBLANK(Q19)-COUNTBLANK(S19))/6)</f>
      </c>
      <c r="Y19" s="16"/>
    </row>
    <row r="20" ht="30" customHeight="1" spans="1:25" x14ac:dyDescent="0.25">
      <c r="A20" s="20">
        <f>IF(Register!A20="","",Register!A20)</f>
      </c>
      <c r="B20" s="20">
        <f>IF(Register!C20="","",Register!C20)</f>
      </c>
      <c r="C20" s="16"/>
      <c r="D20" s="16"/>
      <c r="E20" s="16"/>
      <c r="F20" s="16"/>
      <c r="G20" s="16"/>
      <c r="H20" s="16"/>
      <c r="I20" s="16"/>
      <c r="J20" s="16"/>
      <c r="K20" s="16"/>
      <c r="L20" s="16"/>
      <c r="M20" s="23"/>
      <c r="N20" s="23"/>
      <c r="O20" s="24"/>
      <c r="P20" s="25"/>
      <c r="Q20" s="26"/>
      <c r="R20" s="20">
        <f>IF(E20="","",E20)</f>
      </c>
      <c r="S20" s="16"/>
      <c r="T20" s="16"/>
      <c r="U20" s="16"/>
      <c r="V20" s="27">
        <f>IF(COUNT(M20:O20)&lt;3,"",M20*N20*O20/60)</f>
      </c>
      <c r="W20" s="27">
        <f>IF(COUNT(M20,N20,P20,Q20)&lt;4,"",M20*N20*P20*Q20)</f>
      </c>
      <c r="X20" s="21">
        <f>IF(B20="","",(6-COUNTBLANK(M20)-COUNTBLANK(N20)-COUNTBLANK(O20)-COUNTBLANK(P20)-COUNTBLANK(Q20)-COUNTBLANK(S20))/6)</f>
      </c>
      <c r="Y20" s="16"/>
    </row>
    <row r="21" ht="30" customHeight="1" spans="1:25" x14ac:dyDescent="0.25">
      <c r="A21" s="20">
        <f>IF(Register!A21="","",Register!A21)</f>
      </c>
      <c r="B21" s="20">
        <f>IF(Register!C21="","",Register!C21)</f>
      </c>
      <c r="C21" s="16"/>
      <c r="D21" s="16"/>
      <c r="E21" s="16"/>
      <c r="F21" s="16"/>
      <c r="G21" s="16"/>
      <c r="H21" s="16"/>
      <c r="I21" s="16"/>
      <c r="J21" s="16"/>
      <c r="K21" s="16"/>
      <c r="L21" s="16"/>
      <c r="M21" s="23"/>
      <c r="N21" s="23"/>
      <c r="O21" s="24"/>
      <c r="P21" s="25"/>
      <c r="Q21" s="26"/>
      <c r="R21" s="20">
        <f>IF(E21="","",E21)</f>
      </c>
      <c r="S21" s="16"/>
      <c r="T21" s="16"/>
      <c r="U21" s="16"/>
      <c r="V21" s="27">
        <f>IF(COUNT(M21:O21)&lt;3,"",M21*N21*O21/60)</f>
      </c>
      <c r="W21" s="27">
        <f>IF(COUNT(M21,N21,P21,Q21)&lt;4,"",M21*N21*P21*Q21)</f>
      </c>
      <c r="X21" s="21">
        <f>IF(B21="","",(6-COUNTBLANK(M21)-COUNTBLANK(N21)-COUNTBLANK(O21)-COUNTBLANK(P21)-COUNTBLANK(Q21)-COUNTBLANK(S21))/6)</f>
      </c>
      <c r="Y21" s="16"/>
    </row>
    <row r="22" ht="30" customHeight="1" spans="1:25" x14ac:dyDescent="0.25">
      <c r="A22" s="20">
        <f>IF(Register!A22="","",Register!A22)</f>
      </c>
      <c r="B22" s="20">
        <f>IF(Register!C22="","",Register!C22)</f>
      </c>
      <c r="C22" s="16"/>
      <c r="D22" s="16"/>
      <c r="E22" s="16"/>
      <c r="F22" s="16"/>
      <c r="G22" s="16"/>
      <c r="H22" s="16"/>
      <c r="I22" s="16"/>
      <c r="J22" s="16"/>
      <c r="K22" s="16"/>
      <c r="L22" s="16"/>
      <c r="M22" s="23"/>
      <c r="N22" s="23"/>
      <c r="O22" s="24"/>
      <c r="P22" s="25"/>
      <c r="Q22" s="26"/>
      <c r="R22" s="20">
        <f>IF(E22="","",E22)</f>
      </c>
      <c r="S22" s="16"/>
      <c r="T22" s="16"/>
      <c r="U22" s="16"/>
      <c r="V22" s="27">
        <f>IF(COUNT(M22:O22)&lt;3,"",M22*N22*O22/60)</f>
      </c>
      <c r="W22" s="27">
        <f>IF(COUNT(M22,N22,P22,Q22)&lt;4,"",M22*N22*P22*Q22)</f>
      </c>
      <c r="X22" s="21">
        <f>IF(B22="","",(6-COUNTBLANK(M22)-COUNTBLANK(N22)-COUNTBLANK(O22)-COUNTBLANK(P22)-COUNTBLANK(Q22)-COUNTBLANK(S22))/6)</f>
      </c>
      <c r="Y22" s="16"/>
    </row>
    <row r="23" ht="30" customHeight="1" spans="1:25" x14ac:dyDescent="0.25">
      <c r="A23" s="20">
        <f>IF(Register!A23="","",Register!A23)</f>
      </c>
      <c r="B23" s="20">
        <f>IF(Register!C23="","",Register!C23)</f>
      </c>
      <c r="C23" s="16"/>
      <c r="D23" s="16"/>
      <c r="E23" s="16"/>
      <c r="F23" s="16"/>
      <c r="G23" s="16"/>
      <c r="H23" s="16"/>
      <c r="I23" s="16"/>
      <c r="J23" s="16"/>
      <c r="K23" s="16"/>
      <c r="L23" s="16"/>
      <c r="M23" s="23"/>
      <c r="N23" s="23"/>
      <c r="O23" s="24"/>
      <c r="P23" s="25"/>
      <c r="Q23" s="26"/>
      <c r="R23" s="20">
        <f>IF(E23="","",E23)</f>
      </c>
      <c r="S23" s="16"/>
      <c r="T23" s="16"/>
      <c r="U23" s="16"/>
      <c r="V23" s="27">
        <f>IF(COUNT(M23:O23)&lt;3,"",M23*N23*O23/60)</f>
      </c>
      <c r="W23" s="27">
        <f>IF(COUNT(M23,N23,P23,Q23)&lt;4,"",M23*N23*P23*Q23)</f>
      </c>
      <c r="X23" s="21">
        <f>IF(B23="","",(6-COUNTBLANK(M23)-COUNTBLANK(N23)-COUNTBLANK(O23)-COUNTBLANK(P23)-COUNTBLANK(Q23)-COUNTBLANK(S23))/6)</f>
      </c>
      <c r="Y23" s="16"/>
    </row>
    <row r="24" ht="30" customHeight="1" spans="1:25" x14ac:dyDescent="0.25">
      <c r="A24" s="20">
        <f>IF(Register!A24="","",Register!A24)</f>
      </c>
      <c r="B24" s="20">
        <f>IF(Register!C24="","",Register!C24)</f>
      </c>
      <c r="C24" s="16"/>
      <c r="D24" s="16"/>
      <c r="E24" s="16"/>
      <c r="F24" s="16"/>
      <c r="G24" s="16"/>
      <c r="H24" s="16"/>
      <c r="I24" s="16"/>
      <c r="J24" s="16"/>
      <c r="K24" s="16"/>
      <c r="L24" s="16"/>
      <c r="M24" s="23"/>
      <c r="N24" s="23"/>
      <c r="O24" s="24"/>
      <c r="P24" s="25"/>
      <c r="Q24" s="26"/>
      <c r="R24" s="20">
        <f>IF(E24="","",E24)</f>
      </c>
      <c r="S24" s="16"/>
      <c r="T24" s="16"/>
      <c r="U24" s="16"/>
      <c r="V24" s="27">
        <f>IF(COUNT(M24:O24)&lt;3,"",M24*N24*O24/60)</f>
      </c>
      <c r="W24" s="27">
        <f>IF(COUNT(M24,N24,P24,Q24)&lt;4,"",M24*N24*P24*Q24)</f>
      </c>
      <c r="X24" s="21">
        <f>IF(B24="","",(6-COUNTBLANK(M24)-COUNTBLANK(N24)-COUNTBLANK(O24)-COUNTBLANK(P24)-COUNTBLANK(Q24)-COUNTBLANK(S24))/6)</f>
      </c>
      <c r="Y24" s="16"/>
    </row>
    <row r="25" ht="30" customHeight="1" spans="1:25" x14ac:dyDescent="0.25">
      <c r="A25" s="20">
        <f>IF(Register!A25="","",Register!A25)</f>
      </c>
      <c r="B25" s="20">
        <f>IF(Register!C25="","",Register!C25)</f>
      </c>
      <c r="C25" s="16"/>
      <c r="D25" s="16"/>
      <c r="E25" s="16"/>
      <c r="F25" s="16"/>
      <c r="G25" s="16"/>
      <c r="H25" s="16"/>
      <c r="I25" s="16"/>
      <c r="J25" s="16"/>
      <c r="K25" s="16"/>
      <c r="L25" s="16"/>
      <c r="M25" s="23"/>
      <c r="N25" s="23"/>
      <c r="O25" s="24"/>
      <c r="P25" s="25"/>
      <c r="Q25" s="26"/>
      <c r="R25" s="20">
        <f>IF(E25="","",E25)</f>
      </c>
      <c r="S25" s="16"/>
      <c r="T25" s="16"/>
      <c r="U25" s="16"/>
      <c r="V25" s="27">
        <f>IF(COUNT(M25:O25)&lt;3,"",M25*N25*O25/60)</f>
      </c>
      <c r="W25" s="27">
        <f>IF(COUNT(M25,N25,P25,Q25)&lt;4,"",M25*N25*P25*Q25)</f>
      </c>
      <c r="X25" s="21">
        <f>IF(B25="","",(6-COUNTBLANK(M25)-COUNTBLANK(N25)-COUNTBLANK(O25)-COUNTBLANK(P25)-COUNTBLANK(Q25)-COUNTBLANK(S25))/6)</f>
      </c>
      <c r="Y25" s="16"/>
    </row>
    <row r="26" ht="30" customHeight="1" spans="1:25" x14ac:dyDescent="0.25">
      <c r="A26" s="20">
        <f>IF(Register!A26="","",Register!A26)</f>
      </c>
      <c r="B26" s="20">
        <f>IF(Register!C26="","",Register!C26)</f>
      </c>
      <c r="C26" s="16"/>
      <c r="D26" s="16"/>
      <c r="E26" s="16"/>
      <c r="F26" s="16"/>
      <c r="G26" s="16"/>
      <c r="H26" s="16"/>
      <c r="I26" s="16"/>
      <c r="J26" s="16"/>
      <c r="K26" s="16"/>
      <c r="L26" s="16"/>
      <c r="M26" s="23"/>
      <c r="N26" s="23"/>
      <c r="O26" s="24"/>
      <c r="P26" s="25"/>
      <c r="Q26" s="26"/>
      <c r="R26" s="20">
        <f>IF(E26="","",E26)</f>
      </c>
      <c r="S26" s="16"/>
      <c r="T26" s="16"/>
      <c r="U26" s="16"/>
      <c r="V26" s="27">
        <f>IF(COUNT(M26:O26)&lt;3,"",M26*N26*O26/60)</f>
      </c>
      <c r="W26" s="27">
        <f>IF(COUNT(M26,N26,P26,Q26)&lt;4,"",M26*N26*P26*Q26)</f>
      </c>
      <c r="X26" s="21">
        <f>IF(B26="","",(6-COUNTBLANK(M26)-COUNTBLANK(N26)-COUNTBLANK(O26)-COUNTBLANK(P26)-COUNTBLANK(Q26)-COUNTBLANK(S26))/6)</f>
      </c>
      <c r="Y26" s="16"/>
    </row>
    <row r="27" ht="30" customHeight="1" spans="1:25" x14ac:dyDescent="0.25">
      <c r="A27" s="20">
        <f>IF(Register!A27="","",Register!A27)</f>
      </c>
      <c r="B27" s="20">
        <f>IF(Register!C27="","",Register!C27)</f>
      </c>
      <c r="C27" s="16"/>
      <c r="D27" s="16"/>
      <c r="E27" s="16"/>
      <c r="F27" s="16"/>
      <c r="G27" s="16"/>
      <c r="H27" s="16"/>
      <c r="I27" s="16"/>
      <c r="J27" s="16"/>
      <c r="K27" s="16"/>
      <c r="L27" s="16"/>
      <c r="M27" s="23"/>
      <c r="N27" s="23"/>
      <c r="O27" s="24"/>
      <c r="P27" s="25"/>
      <c r="Q27" s="26"/>
      <c r="R27" s="20">
        <f>IF(E27="","",E27)</f>
      </c>
      <c r="S27" s="16"/>
      <c r="T27" s="16"/>
      <c r="U27" s="16"/>
      <c r="V27" s="27">
        <f>IF(COUNT(M27:O27)&lt;3,"",M27*N27*O27/60)</f>
      </c>
      <c r="W27" s="27">
        <f>IF(COUNT(M27,N27,P27,Q27)&lt;4,"",M27*N27*P27*Q27)</f>
      </c>
      <c r="X27" s="21">
        <f>IF(B27="","",(6-COUNTBLANK(M27)-COUNTBLANK(N27)-COUNTBLANK(O27)-COUNTBLANK(P27)-COUNTBLANK(Q27)-COUNTBLANK(S27))/6)</f>
      </c>
      <c r="Y27" s="16"/>
    </row>
    <row r="28" ht="30" customHeight="1" spans="1:25" x14ac:dyDescent="0.25">
      <c r="A28" s="20">
        <f>IF(Register!A28="","",Register!A28)</f>
      </c>
      <c r="B28" s="20">
        <f>IF(Register!C28="","",Register!C28)</f>
      </c>
      <c r="C28" s="16"/>
      <c r="D28" s="16"/>
      <c r="E28" s="16"/>
      <c r="F28" s="16"/>
      <c r="G28" s="16"/>
      <c r="H28" s="16"/>
      <c r="I28" s="16"/>
      <c r="J28" s="16"/>
      <c r="K28" s="16"/>
      <c r="L28" s="16"/>
      <c r="M28" s="23"/>
      <c r="N28" s="23"/>
      <c r="O28" s="24"/>
      <c r="P28" s="25"/>
      <c r="Q28" s="26"/>
      <c r="R28" s="20">
        <f>IF(E28="","",E28)</f>
      </c>
      <c r="S28" s="16"/>
      <c r="T28" s="16"/>
      <c r="U28" s="16"/>
      <c r="V28" s="27">
        <f>IF(COUNT(M28:O28)&lt;3,"",M28*N28*O28/60)</f>
      </c>
      <c r="W28" s="27">
        <f>IF(COUNT(M28,N28,P28,Q28)&lt;4,"",M28*N28*P28*Q28)</f>
      </c>
      <c r="X28" s="21">
        <f>IF(B28="","",(6-COUNTBLANK(M28)-COUNTBLANK(N28)-COUNTBLANK(O28)-COUNTBLANK(P28)-COUNTBLANK(Q28)-COUNTBLANK(S28))/6)</f>
      </c>
      <c r="Y28" s="16"/>
    </row>
    <row r="29" ht="30" customHeight="1" spans="1:25" x14ac:dyDescent="0.25">
      <c r="A29" s="20">
        <f>IF(Register!A29="","",Register!A29)</f>
      </c>
      <c r="B29" s="20">
        <f>IF(Register!C29="","",Register!C29)</f>
      </c>
      <c r="C29" s="16"/>
      <c r="D29" s="16"/>
      <c r="E29" s="16"/>
      <c r="F29" s="16"/>
      <c r="G29" s="16"/>
      <c r="H29" s="16"/>
      <c r="I29" s="16"/>
      <c r="J29" s="16"/>
      <c r="K29" s="16"/>
      <c r="L29" s="16"/>
      <c r="M29" s="23"/>
      <c r="N29" s="23"/>
      <c r="O29" s="24"/>
      <c r="P29" s="25"/>
      <c r="Q29" s="26"/>
      <c r="R29" s="20">
        <f>IF(E29="","",E29)</f>
      </c>
      <c r="S29" s="16"/>
      <c r="T29" s="16"/>
      <c r="U29" s="16"/>
      <c r="V29" s="27">
        <f>IF(COUNT(M29:O29)&lt;3,"",M29*N29*O29/60)</f>
      </c>
      <c r="W29" s="27">
        <f>IF(COUNT(M29,N29,P29,Q29)&lt;4,"",M29*N29*P29*Q29)</f>
      </c>
      <c r="X29" s="21">
        <f>IF(B29="","",(6-COUNTBLANK(M29)-COUNTBLANK(N29)-COUNTBLANK(O29)-COUNTBLANK(P29)-COUNTBLANK(Q29)-COUNTBLANK(S29))/6)</f>
      </c>
      <c r="Y29" s="16"/>
    </row>
    <row r="30" ht="30" customHeight="1" spans="1:25" x14ac:dyDescent="0.25">
      <c r="A30" s="20">
        <f>IF(Register!A30="","",Register!A30)</f>
      </c>
      <c r="B30" s="20">
        <f>IF(Register!C30="","",Register!C30)</f>
      </c>
      <c r="C30" s="16"/>
      <c r="D30" s="16"/>
      <c r="E30" s="16"/>
      <c r="F30" s="16"/>
      <c r="G30" s="16"/>
      <c r="H30" s="16"/>
      <c r="I30" s="16"/>
      <c r="J30" s="16"/>
      <c r="K30" s="16"/>
      <c r="L30" s="16"/>
      <c r="M30" s="23"/>
      <c r="N30" s="23"/>
      <c r="O30" s="24"/>
      <c r="P30" s="25"/>
      <c r="Q30" s="26"/>
      <c r="R30" s="20">
        <f>IF(E30="","",E30)</f>
      </c>
      <c r="S30" s="16"/>
      <c r="T30" s="16"/>
      <c r="U30" s="16"/>
      <c r="V30" s="27">
        <f>IF(COUNT(M30:O30)&lt;3,"",M30*N30*O30/60)</f>
      </c>
      <c r="W30" s="27">
        <f>IF(COUNT(M30,N30,P30,Q30)&lt;4,"",M30*N30*P30*Q30)</f>
      </c>
      <c r="X30" s="21">
        <f>IF(B30="","",(6-COUNTBLANK(M30)-COUNTBLANK(N30)-COUNTBLANK(O30)-COUNTBLANK(P30)-COUNTBLANK(Q30)-COUNTBLANK(S30))/6)</f>
      </c>
      <c r="Y30" s="16"/>
    </row>
    <row r="31" ht="30" customHeight="1" spans="1:25" x14ac:dyDescent="0.25">
      <c r="A31" s="20">
        <f>IF(Register!A31="","",Register!A31)</f>
      </c>
      <c r="B31" s="20">
        <f>IF(Register!C31="","",Register!C31)</f>
      </c>
      <c r="C31" s="16"/>
      <c r="D31" s="16"/>
      <c r="E31" s="16"/>
      <c r="F31" s="16"/>
      <c r="G31" s="16"/>
      <c r="H31" s="16"/>
      <c r="I31" s="16"/>
      <c r="J31" s="16"/>
      <c r="K31" s="16"/>
      <c r="L31" s="16"/>
      <c r="M31" s="23"/>
      <c r="N31" s="23"/>
      <c r="O31" s="24"/>
      <c r="P31" s="25"/>
      <c r="Q31" s="26"/>
      <c r="R31" s="20">
        <f>IF(E31="","",E31)</f>
      </c>
      <c r="S31" s="16"/>
      <c r="T31" s="16"/>
      <c r="U31" s="16"/>
      <c r="V31" s="27">
        <f>IF(COUNT(M31:O31)&lt;3,"",M31*N31*O31/60)</f>
      </c>
      <c r="W31" s="27">
        <f>IF(COUNT(M31,N31,P31,Q31)&lt;4,"",M31*N31*P31*Q31)</f>
      </c>
      <c r="X31" s="21">
        <f>IF(B31="","",(6-COUNTBLANK(M31)-COUNTBLANK(N31)-COUNTBLANK(O31)-COUNTBLANK(P31)-COUNTBLANK(Q31)-COUNTBLANK(S31))/6)</f>
      </c>
      <c r="Y31" s="16"/>
    </row>
    <row r="32" ht="30" customHeight="1" spans="1:25" x14ac:dyDescent="0.25">
      <c r="A32" s="20">
        <f>IF(Register!A32="","",Register!A32)</f>
      </c>
      <c r="B32" s="20">
        <f>IF(Register!C32="","",Register!C32)</f>
      </c>
      <c r="C32" s="16"/>
      <c r="D32" s="16"/>
      <c r="E32" s="16"/>
      <c r="F32" s="16"/>
      <c r="G32" s="16"/>
      <c r="H32" s="16"/>
      <c r="I32" s="16"/>
      <c r="J32" s="16"/>
      <c r="K32" s="16"/>
      <c r="L32" s="16"/>
      <c r="M32" s="23"/>
      <c r="N32" s="23"/>
      <c r="O32" s="24"/>
      <c r="P32" s="25"/>
      <c r="Q32" s="26"/>
      <c r="R32" s="20">
        <f>IF(E32="","",E32)</f>
      </c>
      <c r="S32" s="16"/>
      <c r="T32" s="16"/>
      <c r="U32" s="16"/>
      <c r="V32" s="27">
        <f>IF(COUNT(M32:O32)&lt;3,"",M32*N32*O32/60)</f>
      </c>
      <c r="W32" s="27">
        <f>IF(COUNT(M32,N32,P32,Q32)&lt;4,"",M32*N32*P32*Q32)</f>
      </c>
      <c r="X32" s="21">
        <f>IF(B32="","",(6-COUNTBLANK(M32)-COUNTBLANK(N32)-COUNTBLANK(O32)-COUNTBLANK(P32)-COUNTBLANK(Q32)-COUNTBLANK(S32))/6)</f>
      </c>
      <c r="Y32" s="16"/>
    </row>
    <row r="33" ht="30" customHeight="1" spans="1:25" x14ac:dyDescent="0.25">
      <c r="A33" s="20">
        <f>IF(Register!A33="","",Register!A33)</f>
      </c>
      <c r="B33" s="20">
        <f>IF(Register!C33="","",Register!C33)</f>
      </c>
      <c r="C33" s="16"/>
      <c r="D33" s="16"/>
      <c r="E33" s="16"/>
      <c r="F33" s="16"/>
      <c r="G33" s="16"/>
      <c r="H33" s="16"/>
      <c r="I33" s="16"/>
      <c r="J33" s="16"/>
      <c r="K33" s="16"/>
      <c r="L33" s="16"/>
      <c r="M33" s="23"/>
      <c r="N33" s="23"/>
      <c r="O33" s="24"/>
      <c r="P33" s="25"/>
      <c r="Q33" s="26"/>
      <c r="R33" s="20">
        <f>IF(E33="","",E33)</f>
      </c>
      <c r="S33" s="16"/>
      <c r="T33" s="16"/>
      <c r="U33" s="16"/>
      <c r="V33" s="27">
        <f>IF(COUNT(M33:O33)&lt;3,"",M33*N33*O33/60)</f>
      </c>
      <c r="W33" s="27">
        <f>IF(COUNT(M33,N33,P33,Q33)&lt;4,"",M33*N33*P33*Q33)</f>
      </c>
      <c r="X33" s="21">
        <f>IF(B33="","",(6-COUNTBLANK(M33)-COUNTBLANK(N33)-COUNTBLANK(O33)-COUNTBLANK(P33)-COUNTBLANK(Q33)-COUNTBLANK(S33))/6)</f>
      </c>
      <c r="Y33" s="16"/>
    </row>
    <row r="34" ht="30" customHeight="1" spans="1:25" x14ac:dyDescent="0.25">
      <c r="A34" s="20">
        <f>IF(Register!A34="","",Register!A34)</f>
      </c>
      <c r="B34" s="20">
        <f>IF(Register!C34="","",Register!C34)</f>
      </c>
      <c r="C34" s="16"/>
      <c r="D34" s="16"/>
      <c r="E34" s="16"/>
      <c r="F34" s="16"/>
      <c r="G34" s="16"/>
      <c r="H34" s="16"/>
      <c r="I34" s="16"/>
      <c r="J34" s="16"/>
      <c r="K34" s="16"/>
      <c r="L34" s="16"/>
      <c r="M34" s="23"/>
      <c r="N34" s="23"/>
      <c r="O34" s="24"/>
      <c r="P34" s="25"/>
      <c r="Q34" s="26"/>
      <c r="R34" s="20">
        <f>IF(E34="","",E34)</f>
      </c>
      <c r="S34" s="16"/>
      <c r="T34" s="16"/>
      <c r="U34" s="16"/>
      <c r="V34" s="27">
        <f>IF(COUNT(M34:O34)&lt;3,"",M34*N34*O34/60)</f>
      </c>
      <c r="W34" s="27">
        <f>IF(COUNT(M34,N34,P34,Q34)&lt;4,"",M34*N34*P34*Q34)</f>
      </c>
      <c r="X34" s="21">
        <f>IF(B34="","",(6-COUNTBLANK(M34)-COUNTBLANK(N34)-COUNTBLANK(O34)-COUNTBLANK(P34)-COUNTBLANK(Q34)-COUNTBLANK(S34))/6)</f>
      </c>
      <c r="Y34" s="16"/>
    </row>
    <row r="35" ht="30" customHeight="1" spans="1:25" x14ac:dyDescent="0.25">
      <c r="A35" s="20">
        <f>IF(Register!A35="","",Register!A35)</f>
      </c>
      <c r="B35" s="20">
        <f>IF(Register!C35="","",Register!C35)</f>
      </c>
      <c r="C35" s="16"/>
      <c r="D35" s="16"/>
      <c r="E35" s="16"/>
      <c r="F35" s="16"/>
      <c r="G35" s="16"/>
      <c r="H35" s="16"/>
      <c r="I35" s="16"/>
      <c r="J35" s="16"/>
      <c r="K35" s="16"/>
      <c r="L35" s="16"/>
      <c r="M35" s="23"/>
      <c r="N35" s="23"/>
      <c r="O35" s="24"/>
      <c r="P35" s="25"/>
      <c r="Q35" s="26"/>
      <c r="R35" s="20">
        <f>IF(E35="","",E35)</f>
      </c>
      <c r="S35" s="16"/>
      <c r="T35" s="16"/>
      <c r="U35" s="16"/>
      <c r="V35" s="27">
        <f>IF(COUNT(M35:O35)&lt;3,"",M35*N35*O35/60)</f>
      </c>
      <c r="W35" s="27">
        <f>IF(COUNT(M35,N35,P35,Q35)&lt;4,"",M35*N35*P35*Q35)</f>
      </c>
      <c r="X35" s="21">
        <f>IF(B35="","",(6-COUNTBLANK(M35)-COUNTBLANK(N35)-COUNTBLANK(O35)-COUNTBLANK(P35)-COUNTBLANK(Q35)-COUNTBLANK(S35))/6)</f>
      </c>
      <c r="Y35" s="16"/>
    </row>
    <row r="36" ht="30" customHeight="1" spans="1:25" x14ac:dyDescent="0.25">
      <c r="A36" s="20">
        <f>IF(Register!A36="","",Register!A36)</f>
      </c>
      <c r="B36" s="20">
        <f>IF(Register!C36="","",Register!C36)</f>
      </c>
      <c r="C36" s="16"/>
      <c r="D36" s="16"/>
      <c r="E36" s="16"/>
      <c r="F36" s="16"/>
      <c r="G36" s="16"/>
      <c r="H36" s="16"/>
      <c r="I36" s="16"/>
      <c r="J36" s="16"/>
      <c r="K36" s="16"/>
      <c r="L36" s="16"/>
      <c r="M36" s="23"/>
      <c r="N36" s="23"/>
      <c r="O36" s="24"/>
      <c r="P36" s="25"/>
      <c r="Q36" s="26"/>
      <c r="R36" s="20">
        <f>IF(E36="","",E36)</f>
      </c>
      <c r="S36" s="16"/>
      <c r="T36" s="16"/>
      <c r="U36" s="16"/>
      <c r="V36" s="27">
        <f>IF(COUNT(M36:O36)&lt;3,"",M36*N36*O36/60)</f>
      </c>
      <c r="W36" s="27">
        <f>IF(COUNT(M36,N36,P36,Q36)&lt;4,"",M36*N36*P36*Q36)</f>
      </c>
      <c r="X36" s="21">
        <f>IF(B36="","",(6-COUNTBLANK(M36)-COUNTBLANK(N36)-COUNTBLANK(O36)-COUNTBLANK(P36)-COUNTBLANK(Q36)-COUNTBLANK(S36))/6)</f>
      </c>
      <c r="Y36" s="16"/>
    </row>
    <row r="37" ht="30" customHeight="1" spans="1:25" x14ac:dyDescent="0.25">
      <c r="A37" s="20">
        <f>IF(Register!A37="","",Register!A37)</f>
      </c>
      <c r="B37" s="20">
        <f>IF(Register!C37="","",Register!C37)</f>
      </c>
      <c r="C37" s="16"/>
      <c r="D37" s="16"/>
      <c r="E37" s="16"/>
      <c r="F37" s="16"/>
      <c r="G37" s="16"/>
      <c r="H37" s="16"/>
      <c r="I37" s="16"/>
      <c r="J37" s="16"/>
      <c r="K37" s="16"/>
      <c r="L37" s="16"/>
      <c r="M37" s="23"/>
      <c r="N37" s="23"/>
      <c r="O37" s="24"/>
      <c r="P37" s="25"/>
      <c r="Q37" s="26"/>
      <c r="R37" s="20">
        <f>IF(E37="","",E37)</f>
      </c>
      <c r="S37" s="16"/>
      <c r="T37" s="16"/>
      <c r="U37" s="16"/>
      <c r="V37" s="27">
        <f>IF(COUNT(M37:O37)&lt;3,"",M37*N37*O37/60)</f>
      </c>
      <c r="W37" s="27">
        <f>IF(COUNT(M37,N37,P37,Q37)&lt;4,"",M37*N37*P37*Q37)</f>
      </c>
      <c r="X37" s="21">
        <f>IF(B37="","",(6-COUNTBLANK(M37)-COUNTBLANK(N37)-COUNTBLANK(O37)-COUNTBLANK(P37)-COUNTBLANK(Q37)-COUNTBLANK(S37))/6)</f>
      </c>
      <c r="Y37" s="16"/>
    </row>
    <row r="38" ht="30" customHeight="1" spans="1:25" x14ac:dyDescent="0.25">
      <c r="A38" s="20">
        <f>IF(Register!A38="","",Register!A38)</f>
      </c>
      <c r="B38" s="20">
        <f>IF(Register!C38="","",Register!C38)</f>
      </c>
      <c r="C38" s="16"/>
      <c r="D38" s="16"/>
      <c r="E38" s="16"/>
      <c r="F38" s="16"/>
      <c r="G38" s="16"/>
      <c r="H38" s="16"/>
      <c r="I38" s="16"/>
      <c r="J38" s="16"/>
      <c r="K38" s="16"/>
      <c r="L38" s="16"/>
      <c r="M38" s="23"/>
      <c r="N38" s="23"/>
      <c r="O38" s="24"/>
      <c r="P38" s="25"/>
      <c r="Q38" s="26"/>
      <c r="R38" s="20">
        <f>IF(E38="","",E38)</f>
      </c>
      <c r="S38" s="16"/>
      <c r="T38" s="16"/>
      <c r="U38" s="16"/>
      <c r="V38" s="27">
        <f>IF(COUNT(M38:O38)&lt;3,"",M38*N38*O38/60)</f>
      </c>
      <c r="W38" s="27">
        <f>IF(COUNT(M38,N38,P38,Q38)&lt;4,"",M38*N38*P38*Q38)</f>
      </c>
      <c r="X38" s="21">
        <f>IF(B38="","",(6-COUNTBLANK(M38)-COUNTBLANK(N38)-COUNTBLANK(O38)-COUNTBLANK(P38)-COUNTBLANK(Q38)-COUNTBLANK(S38))/6)</f>
      </c>
      <c r="Y38" s="16"/>
    </row>
    <row r="39" ht="30" customHeight="1" spans="1:25" x14ac:dyDescent="0.25">
      <c r="A39" s="20">
        <f>IF(Register!A39="","",Register!A39)</f>
      </c>
      <c r="B39" s="20">
        <f>IF(Register!C39="","",Register!C39)</f>
      </c>
      <c r="C39" s="16"/>
      <c r="D39" s="16"/>
      <c r="E39" s="16"/>
      <c r="F39" s="16"/>
      <c r="G39" s="16"/>
      <c r="H39" s="16"/>
      <c r="I39" s="16"/>
      <c r="J39" s="16"/>
      <c r="K39" s="16"/>
      <c r="L39" s="16"/>
      <c r="M39" s="23"/>
      <c r="N39" s="23"/>
      <c r="O39" s="24"/>
      <c r="P39" s="25"/>
      <c r="Q39" s="26"/>
      <c r="R39" s="20">
        <f>IF(E39="","",E39)</f>
      </c>
      <c r="S39" s="16"/>
      <c r="T39" s="16"/>
      <c r="U39" s="16"/>
      <c r="V39" s="27">
        <f>IF(COUNT(M39:O39)&lt;3,"",M39*N39*O39/60)</f>
      </c>
      <c r="W39" s="27">
        <f>IF(COUNT(M39,N39,P39,Q39)&lt;4,"",M39*N39*P39*Q39)</f>
      </c>
      <c r="X39" s="21">
        <f>IF(B39="","",(6-COUNTBLANK(M39)-COUNTBLANK(N39)-COUNTBLANK(O39)-COUNTBLANK(P39)-COUNTBLANK(Q39)-COUNTBLANK(S39))/6)</f>
      </c>
      <c r="Y39" s="16"/>
    </row>
    <row r="40" ht="30" customHeight="1" spans="1:25" x14ac:dyDescent="0.25">
      <c r="A40" s="20">
        <f>IF(Register!A40="","",Register!A40)</f>
      </c>
      <c r="B40" s="20">
        <f>IF(Register!C40="","",Register!C40)</f>
      </c>
      <c r="C40" s="16"/>
      <c r="D40" s="16"/>
      <c r="E40" s="16"/>
      <c r="F40" s="16"/>
      <c r="G40" s="16"/>
      <c r="H40" s="16"/>
      <c r="I40" s="16"/>
      <c r="J40" s="16"/>
      <c r="K40" s="16"/>
      <c r="L40" s="16"/>
      <c r="M40" s="23"/>
      <c r="N40" s="23"/>
      <c r="O40" s="24"/>
      <c r="P40" s="25"/>
      <c r="Q40" s="26"/>
      <c r="R40" s="20">
        <f>IF(E40="","",E40)</f>
      </c>
      <c r="S40" s="16"/>
      <c r="T40" s="16"/>
      <c r="U40" s="16"/>
      <c r="V40" s="27">
        <f>IF(COUNT(M40:O40)&lt;3,"",M40*N40*O40/60)</f>
      </c>
      <c r="W40" s="27">
        <f>IF(COUNT(M40,N40,P40,Q40)&lt;4,"",M40*N40*P40*Q40)</f>
      </c>
      <c r="X40" s="21">
        <f>IF(B40="","",(6-COUNTBLANK(M40)-COUNTBLANK(N40)-COUNTBLANK(O40)-COUNTBLANK(P40)-COUNTBLANK(Q40)-COUNTBLANK(S40))/6)</f>
      </c>
      <c r="Y40" s="16"/>
    </row>
    <row r="41" ht="30" customHeight="1" spans="1:25" x14ac:dyDescent="0.25">
      <c r="A41" s="20">
        <f>IF(Register!A41="","",Register!A41)</f>
      </c>
      <c r="B41" s="20">
        <f>IF(Register!C41="","",Register!C41)</f>
      </c>
      <c r="C41" s="16"/>
      <c r="D41" s="16"/>
      <c r="E41" s="16"/>
      <c r="F41" s="16"/>
      <c r="G41" s="16"/>
      <c r="H41" s="16"/>
      <c r="I41" s="16"/>
      <c r="J41" s="16"/>
      <c r="K41" s="16"/>
      <c r="L41" s="16"/>
      <c r="M41" s="23"/>
      <c r="N41" s="23"/>
      <c r="O41" s="24"/>
      <c r="P41" s="25"/>
      <c r="Q41" s="26"/>
      <c r="R41" s="20">
        <f>IF(E41="","",E41)</f>
      </c>
      <c r="S41" s="16"/>
      <c r="T41" s="16"/>
      <c r="U41" s="16"/>
      <c r="V41" s="27">
        <f>IF(COUNT(M41:O41)&lt;3,"",M41*N41*O41/60)</f>
      </c>
      <c r="W41" s="27">
        <f>IF(COUNT(M41,N41,P41,Q41)&lt;4,"",M41*N41*P41*Q41)</f>
      </c>
      <c r="X41" s="21">
        <f>IF(B41="","",(6-COUNTBLANK(M41)-COUNTBLANK(N41)-COUNTBLANK(O41)-COUNTBLANK(P41)-COUNTBLANK(Q41)-COUNTBLANK(S41))/6)</f>
      </c>
      <c r="Y41" s="16"/>
    </row>
    <row r="42" ht="30" customHeight="1" spans="1:25" x14ac:dyDescent="0.25">
      <c r="A42" s="20">
        <f>IF(Register!A42="","",Register!A42)</f>
      </c>
      <c r="B42" s="20">
        <f>IF(Register!C42="","",Register!C42)</f>
      </c>
      <c r="C42" s="16"/>
      <c r="D42" s="16"/>
      <c r="E42" s="16"/>
      <c r="F42" s="16"/>
      <c r="G42" s="16"/>
      <c r="H42" s="16"/>
      <c r="I42" s="16"/>
      <c r="J42" s="16"/>
      <c r="K42" s="16"/>
      <c r="L42" s="16"/>
      <c r="M42" s="23"/>
      <c r="N42" s="23"/>
      <c r="O42" s="24"/>
      <c r="P42" s="25"/>
      <c r="Q42" s="26"/>
      <c r="R42" s="20">
        <f>IF(E42="","",E42)</f>
      </c>
      <c r="S42" s="16"/>
      <c r="T42" s="16"/>
      <c r="U42" s="16"/>
      <c r="V42" s="27">
        <f>IF(COUNT(M42:O42)&lt;3,"",M42*N42*O42/60)</f>
      </c>
      <c r="W42" s="27">
        <f>IF(COUNT(M42,N42,P42,Q42)&lt;4,"",M42*N42*P42*Q42)</f>
      </c>
      <c r="X42" s="21">
        <f>IF(B42="","",(6-COUNTBLANK(M42)-COUNTBLANK(N42)-COUNTBLANK(O42)-COUNTBLANK(P42)-COUNTBLANK(Q42)-COUNTBLANK(S42))/6)</f>
      </c>
      <c r="Y42" s="16"/>
    </row>
    <row r="43" ht="30" customHeight="1" spans="1:25" x14ac:dyDescent="0.25">
      <c r="A43" s="20">
        <f>IF(Register!A43="","",Register!A43)</f>
      </c>
      <c r="B43" s="20">
        <f>IF(Register!C43="","",Register!C43)</f>
      </c>
      <c r="C43" s="16"/>
      <c r="D43" s="16"/>
      <c r="E43" s="16"/>
      <c r="F43" s="16"/>
      <c r="G43" s="16"/>
      <c r="H43" s="16"/>
      <c r="I43" s="16"/>
      <c r="J43" s="16"/>
      <c r="K43" s="16"/>
      <c r="L43" s="16"/>
      <c r="M43" s="23"/>
      <c r="N43" s="23"/>
      <c r="O43" s="24"/>
      <c r="P43" s="25"/>
      <c r="Q43" s="26"/>
      <c r="R43" s="20">
        <f>IF(E43="","",E43)</f>
      </c>
      <c r="S43" s="16"/>
      <c r="T43" s="16"/>
      <c r="U43" s="16"/>
      <c r="V43" s="27">
        <f>IF(COUNT(M43:O43)&lt;3,"",M43*N43*O43/60)</f>
      </c>
      <c r="W43" s="27">
        <f>IF(COUNT(M43,N43,P43,Q43)&lt;4,"",M43*N43*P43*Q43)</f>
      </c>
      <c r="X43" s="21">
        <f>IF(B43="","",(6-COUNTBLANK(M43)-COUNTBLANK(N43)-COUNTBLANK(O43)-COUNTBLANK(P43)-COUNTBLANK(Q43)-COUNTBLANK(S43))/6)</f>
      </c>
      <c r="Y43" s="16"/>
    </row>
    <row r="44" ht="30" customHeight="1" spans="1:25" x14ac:dyDescent="0.25">
      <c r="A44" s="20">
        <f>IF(Register!A44="","",Register!A44)</f>
      </c>
      <c r="B44" s="20">
        <f>IF(Register!C44="","",Register!C44)</f>
      </c>
      <c r="C44" s="16"/>
      <c r="D44" s="16"/>
      <c r="E44" s="16"/>
      <c r="F44" s="16"/>
      <c r="G44" s="16"/>
      <c r="H44" s="16"/>
      <c r="I44" s="16"/>
      <c r="J44" s="16"/>
      <c r="K44" s="16"/>
      <c r="L44" s="16"/>
      <c r="M44" s="23"/>
      <c r="N44" s="23"/>
      <c r="O44" s="24"/>
      <c r="P44" s="25"/>
      <c r="Q44" s="26"/>
      <c r="R44" s="20">
        <f>IF(E44="","",E44)</f>
      </c>
      <c r="S44" s="16"/>
      <c r="T44" s="16"/>
      <c r="U44" s="16"/>
      <c r="V44" s="27">
        <f>IF(COUNT(M44:O44)&lt;3,"",M44*N44*O44/60)</f>
      </c>
      <c r="W44" s="27">
        <f>IF(COUNT(M44,N44,P44,Q44)&lt;4,"",M44*N44*P44*Q44)</f>
      </c>
      <c r="X44" s="21">
        <f>IF(B44="","",(6-COUNTBLANK(M44)-COUNTBLANK(N44)-COUNTBLANK(O44)-COUNTBLANK(P44)-COUNTBLANK(Q44)-COUNTBLANK(S44))/6)</f>
      </c>
      <c r="Y44" s="16"/>
    </row>
    <row r="45" ht="30" customHeight="1" spans="1:25" x14ac:dyDescent="0.25">
      <c r="A45" s="20">
        <f>IF(Register!A45="","",Register!A45)</f>
      </c>
      <c r="B45" s="20">
        <f>IF(Register!C45="","",Register!C45)</f>
      </c>
      <c r="C45" s="16"/>
      <c r="D45" s="16"/>
      <c r="E45" s="16"/>
      <c r="F45" s="16"/>
      <c r="G45" s="16"/>
      <c r="H45" s="16"/>
      <c r="I45" s="16"/>
      <c r="J45" s="16"/>
      <c r="K45" s="16"/>
      <c r="L45" s="16"/>
      <c r="M45" s="23"/>
      <c r="N45" s="23"/>
      <c r="O45" s="24"/>
      <c r="P45" s="25"/>
      <c r="Q45" s="26"/>
      <c r="R45" s="20">
        <f>IF(E45="","",E45)</f>
      </c>
      <c r="S45" s="16"/>
      <c r="T45" s="16"/>
      <c r="U45" s="16"/>
      <c r="V45" s="27">
        <f>IF(COUNT(M45:O45)&lt;3,"",M45*N45*O45/60)</f>
      </c>
      <c r="W45" s="27">
        <f>IF(COUNT(M45,N45,P45,Q45)&lt;4,"",M45*N45*P45*Q45)</f>
      </c>
      <c r="X45" s="21">
        <f>IF(B45="","",(6-COUNTBLANK(M45)-COUNTBLANK(N45)-COUNTBLANK(O45)-COUNTBLANK(P45)-COUNTBLANK(Q45)-COUNTBLANK(S45))/6)</f>
      </c>
      <c r="Y45" s="16"/>
    </row>
    <row r="46" ht="30" customHeight="1" spans="1:25" x14ac:dyDescent="0.25">
      <c r="A46" s="20">
        <f>IF(Register!A46="","",Register!A46)</f>
      </c>
      <c r="B46" s="20">
        <f>IF(Register!C46="","",Register!C46)</f>
      </c>
      <c r="C46" s="16"/>
      <c r="D46" s="16"/>
      <c r="E46" s="16"/>
      <c r="F46" s="16"/>
      <c r="G46" s="16"/>
      <c r="H46" s="16"/>
      <c r="I46" s="16"/>
      <c r="J46" s="16"/>
      <c r="K46" s="16"/>
      <c r="L46" s="16"/>
      <c r="M46" s="23"/>
      <c r="N46" s="23"/>
      <c r="O46" s="24"/>
      <c r="P46" s="25"/>
      <c r="Q46" s="26"/>
      <c r="R46" s="20">
        <f>IF(E46="","",E46)</f>
      </c>
      <c r="S46" s="16"/>
      <c r="T46" s="16"/>
      <c r="U46" s="16"/>
      <c r="V46" s="27">
        <f>IF(COUNT(M46:O46)&lt;3,"",M46*N46*O46/60)</f>
      </c>
      <c r="W46" s="27">
        <f>IF(COUNT(M46,N46,P46,Q46)&lt;4,"",M46*N46*P46*Q46)</f>
      </c>
      <c r="X46" s="21">
        <f>IF(B46="","",(6-COUNTBLANK(M46)-COUNTBLANK(N46)-COUNTBLANK(O46)-COUNTBLANK(P46)-COUNTBLANK(Q46)-COUNTBLANK(S46))/6)</f>
      </c>
      <c r="Y46" s="16"/>
    </row>
    <row r="47" ht="30" customHeight="1" spans="1:25" x14ac:dyDescent="0.25">
      <c r="A47" s="20">
        <f>IF(Register!A47="","",Register!A47)</f>
      </c>
      <c r="B47" s="20">
        <f>IF(Register!C47="","",Register!C47)</f>
      </c>
      <c r="C47" s="16"/>
      <c r="D47" s="16"/>
      <c r="E47" s="16"/>
      <c r="F47" s="16"/>
      <c r="G47" s="16"/>
      <c r="H47" s="16"/>
      <c r="I47" s="16"/>
      <c r="J47" s="16"/>
      <c r="K47" s="16"/>
      <c r="L47" s="16"/>
      <c r="M47" s="23"/>
      <c r="N47" s="23"/>
      <c r="O47" s="24"/>
      <c r="P47" s="25"/>
      <c r="Q47" s="26"/>
      <c r="R47" s="20">
        <f>IF(E47="","",E47)</f>
      </c>
      <c r="S47" s="16"/>
      <c r="T47" s="16"/>
      <c r="U47" s="16"/>
      <c r="V47" s="27">
        <f>IF(COUNT(M47:O47)&lt;3,"",M47*N47*O47/60)</f>
      </c>
      <c r="W47" s="27">
        <f>IF(COUNT(M47,N47,P47,Q47)&lt;4,"",M47*N47*P47*Q47)</f>
      </c>
      <c r="X47" s="21">
        <f>IF(B47="","",(6-COUNTBLANK(M47)-COUNTBLANK(N47)-COUNTBLANK(O47)-COUNTBLANK(P47)-COUNTBLANK(Q47)-COUNTBLANK(S47))/6)</f>
      </c>
      <c r="Y47" s="16"/>
    </row>
    <row r="48" ht="30" customHeight="1" spans="1:25" x14ac:dyDescent="0.25">
      <c r="A48" s="20">
        <f>IF(Register!A48="","",Register!A48)</f>
      </c>
      <c r="B48" s="20">
        <f>IF(Register!C48="","",Register!C48)</f>
      </c>
      <c r="C48" s="16"/>
      <c r="D48" s="16"/>
      <c r="E48" s="16"/>
      <c r="F48" s="16"/>
      <c r="G48" s="16"/>
      <c r="H48" s="16"/>
      <c r="I48" s="16"/>
      <c r="J48" s="16"/>
      <c r="K48" s="16"/>
      <c r="L48" s="16"/>
      <c r="M48" s="23"/>
      <c r="N48" s="23"/>
      <c r="O48" s="24"/>
      <c r="P48" s="25"/>
      <c r="Q48" s="26"/>
      <c r="R48" s="20">
        <f>IF(E48="","",E48)</f>
      </c>
      <c r="S48" s="16"/>
      <c r="T48" s="16"/>
      <c r="U48" s="16"/>
      <c r="V48" s="27">
        <f>IF(COUNT(M48:O48)&lt;3,"",M48*N48*O48/60)</f>
      </c>
      <c r="W48" s="27">
        <f>IF(COUNT(M48,N48,P48,Q48)&lt;4,"",M48*N48*P48*Q48)</f>
      </c>
      <c r="X48" s="21">
        <f>IF(B48="","",(6-COUNTBLANK(M48)-COUNTBLANK(N48)-COUNTBLANK(O48)-COUNTBLANK(P48)-COUNTBLANK(Q48)-COUNTBLANK(S48))/6)</f>
      </c>
      <c r="Y48" s="16"/>
    </row>
    <row r="49" ht="30" customHeight="1" spans="1:25" x14ac:dyDescent="0.25">
      <c r="A49" s="20">
        <f>IF(Register!A49="","",Register!A49)</f>
      </c>
      <c r="B49" s="20">
        <f>IF(Register!C49="","",Register!C49)</f>
      </c>
      <c r="C49" s="16"/>
      <c r="D49" s="16"/>
      <c r="E49" s="16"/>
      <c r="F49" s="16"/>
      <c r="G49" s="16"/>
      <c r="H49" s="16"/>
      <c r="I49" s="16"/>
      <c r="J49" s="16"/>
      <c r="K49" s="16"/>
      <c r="L49" s="16"/>
      <c r="M49" s="23"/>
      <c r="N49" s="23"/>
      <c r="O49" s="24"/>
      <c r="P49" s="25"/>
      <c r="Q49" s="26"/>
      <c r="R49" s="20">
        <f>IF(E49="","",E49)</f>
      </c>
      <c r="S49" s="16"/>
      <c r="T49" s="16"/>
      <c r="U49" s="16"/>
      <c r="V49" s="27">
        <f>IF(COUNT(M49:O49)&lt;3,"",M49*N49*O49/60)</f>
      </c>
      <c r="W49" s="27">
        <f>IF(COUNT(M49,N49,P49,Q49)&lt;4,"",M49*N49*P49*Q49)</f>
      </c>
      <c r="X49" s="21">
        <f>IF(B49="","",(6-COUNTBLANK(M49)-COUNTBLANK(N49)-COUNTBLANK(O49)-COUNTBLANK(P49)-COUNTBLANK(Q49)-COUNTBLANK(S49))/6)</f>
      </c>
      <c r="Y49" s="16"/>
    </row>
    <row r="50" ht="30" customHeight="1" spans="1:25" x14ac:dyDescent="0.25">
      <c r="A50" s="20">
        <f>IF(Register!A50="","",Register!A50)</f>
      </c>
      <c r="B50" s="20">
        <f>IF(Register!C50="","",Register!C50)</f>
      </c>
      <c r="C50" s="16"/>
      <c r="D50" s="16"/>
      <c r="E50" s="16"/>
      <c r="F50" s="16"/>
      <c r="G50" s="16"/>
      <c r="H50" s="16"/>
      <c r="I50" s="16"/>
      <c r="J50" s="16"/>
      <c r="K50" s="16"/>
      <c r="L50" s="16"/>
      <c r="M50" s="23"/>
      <c r="N50" s="23"/>
      <c r="O50" s="24"/>
      <c r="P50" s="25"/>
      <c r="Q50" s="26"/>
      <c r="R50" s="20">
        <f>IF(E50="","",E50)</f>
      </c>
      <c r="S50" s="16"/>
      <c r="T50" s="16"/>
      <c r="U50" s="16"/>
      <c r="V50" s="27">
        <f>IF(COUNT(M50:O50)&lt;3,"",M50*N50*O50/60)</f>
      </c>
      <c r="W50" s="27">
        <f>IF(COUNT(M50,N50,P50,Q50)&lt;4,"",M50*N50*P50*Q50)</f>
      </c>
      <c r="X50" s="21">
        <f>IF(B50="","",(6-COUNTBLANK(M50)-COUNTBLANK(N50)-COUNTBLANK(O50)-COUNTBLANK(P50)-COUNTBLANK(Q50)-COUNTBLANK(S50))/6)</f>
      </c>
      <c r="Y50" s="16"/>
    </row>
    <row r="51" ht="30" customHeight="1" spans="1:25" x14ac:dyDescent="0.25">
      <c r="A51" s="20">
        <f>IF(Register!A51="","",Register!A51)</f>
      </c>
      <c r="B51" s="20">
        <f>IF(Register!C51="","",Register!C51)</f>
      </c>
      <c r="C51" s="16"/>
      <c r="D51" s="16"/>
      <c r="E51" s="16"/>
      <c r="F51" s="16"/>
      <c r="G51" s="16"/>
      <c r="H51" s="16"/>
      <c r="I51" s="16"/>
      <c r="J51" s="16"/>
      <c r="K51" s="16"/>
      <c r="L51" s="16"/>
      <c r="M51" s="23"/>
      <c r="N51" s="23"/>
      <c r="O51" s="24"/>
      <c r="P51" s="25"/>
      <c r="Q51" s="26"/>
      <c r="R51" s="20">
        <f>IF(E51="","",E51)</f>
      </c>
      <c r="S51" s="16"/>
      <c r="T51" s="16"/>
      <c r="U51" s="16"/>
      <c r="V51" s="27">
        <f>IF(COUNT(M51:O51)&lt;3,"",M51*N51*O51/60)</f>
      </c>
      <c r="W51" s="27">
        <f>IF(COUNT(M51,N51,P51,Q51)&lt;4,"",M51*N51*P51*Q51)</f>
      </c>
      <c r="X51" s="21">
        <f>IF(B51="","",(6-COUNTBLANK(M51)-COUNTBLANK(N51)-COUNTBLANK(O51)-COUNTBLANK(P51)-COUNTBLANK(Q51)-COUNTBLANK(S51))/6)</f>
      </c>
      <c r="Y51" s="16"/>
    </row>
    <row r="52" ht="30" customHeight="1" spans="1:25" x14ac:dyDescent="0.25">
      <c r="A52" s="20">
        <f>IF(Register!A52="","",Register!A52)</f>
      </c>
      <c r="B52" s="20">
        <f>IF(Register!C52="","",Register!C52)</f>
      </c>
      <c r="C52" s="16"/>
      <c r="D52" s="16"/>
      <c r="E52" s="16"/>
      <c r="F52" s="16"/>
      <c r="G52" s="16"/>
      <c r="H52" s="16"/>
      <c r="I52" s="16"/>
      <c r="J52" s="16"/>
      <c r="K52" s="16"/>
      <c r="L52" s="16"/>
      <c r="M52" s="23"/>
      <c r="N52" s="23"/>
      <c r="O52" s="24"/>
      <c r="P52" s="25"/>
      <c r="Q52" s="26"/>
      <c r="R52" s="20">
        <f>IF(E52="","",E52)</f>
      </c>
      <c r="S52" s="16"/>
      <c r="T52" s="16"/>
      <c r="U52" s="16"/>
      <c r="V52" s="27">
        <f>IF(COUNT(M52:O52)&lt;3,"",M52*N52*O52/60)</f>
      </c>
      <c r="W52" s="27">
        <f>IF(COUNT(M52,N52,P52,Q52)&lt;4,"",M52*N52*P52*Q52)</f>
      </c>
      <c r="X52" s="21">
        <f>IF(B52="","",(6-COUNTBLANK(M52)-COUNTBLANK(N52)-COUNTBLANK(O52)-COUNTBLANK(P52)-COUNTBLANK(Q52)-COUNTBLANK(S52))/6)</f>
      </c>
      <c r="Y52" s="16"/>
    </row>
  </sheetData>
  <autoFilter ref="A2:Y52"/>
  <mergeCells count="4">
    <mergeCell ref="A1:B1"/>
    <mergeCell ref="C1:L1"/>
    <mergeCell ref="M1:U1"/>
    <mergeCell ref="V1:Y1"/>
  </mergeCells>
  <dataValidations count="4">
    <dataValidation type="list" allowBlank="1" sqref="T10:T52">
      <formula1>Lists!$P$3:$P$8</formula1>
    </dataValidation>
    <dataValidation type="list" allowBlank="1" sqref="T3:T52">
      <formula1>Lists!$P$3:$P$8</formula1>
    </dataValidation>
    <dataValidation type="list" allowBlank="1" sqref="U10:U52">
      <formula1>Lists!$Q$3:$Q$5</formula1>
    </dataValidation>
    <dataValidation type="list" allowBlank="1" sqref="U3:U52">
      <formula1>Lists!$Q$3:$Q$5</formula1>
    </dataValidation>
  </dataValidations>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8D4"/>
  </sheetPr>
  <dimension ref="A1:V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3" width="20" customWidth="1"/>
    <col min="4" max="4" width="22" customWidth="1"/>
    <col min="5" max="7" width="14" customWidth="1"/>
    <col min="8" max="8" width="18" customWidth="1"/>
    <col min="9" max="10" width="16" customWidth="1"/>
    <col min="11" max="11" width="34" customWidth="1"/>
    <col min="12" max="13" width="18" customWidth="1"/>
    <col min="14" max="14" width="20" customWidth="1"/>
    <col min="15" max="16" width="16" customWidth="1"/>
    <col min="17" max="20" width="13" customWidth="1"/>
    <col min="21" max="21" width="16" customWidth="1"/>
    <col min="22" max="22" width="34" customWidth="1"/>
  </cols>
  <sheetData>
    <row r="1" ht="20" customHeight="1" spans="1:22" x14ac:dyDescent="0.25">
      <c r="A1" s="11" t="s">
        <v>331</v>
      </c>
      <c r="B1" s="11"/>
      <c r="C1" s="13" t="s">
        <v>378</v>
      </c>
      <c r="D1" s="13"/>
      <c r="E1" s="13"/>
      <c r="F1" s="13"/>
      <c r="G1" s="13"/>
      <c r="H1" s="13"/>
      <c r="I1" s="13"/>
      <c r="J1" s="22" t="s">
        <v>379</v>
      </c>
      <c r="K1" s="22"/>
      <c r="L1" s="22"/>
      <c r="M1" s="22"/>
      <c r="N1" s="22"/>
      <c r="O1" s="22"/>
      <c r="P1" s="22"/>
      <c r="Q1" s="28" t="s">
        <v>380</v>
      </c>
      <c r="R1" s="28"/>
      <c r="S1" s="28"/>
      <c r="T1" s="28"/>
      <c r="U1" s="28"/>
      <c r="V1" s="28"/>
    </row>
    <row r="2" ht="48" customHeight="1" spans="1:22" x14ac:dyDescent="0.25">
      <c r="A2" s="15" t="s">
        <v>296</v>
      </c>
      <c r="B2" s="15" t="s">
        <v>335</v>
      </c>
      <c r="C2" s="15" t="s">
        <v>381</v>
      </c>
      <c r="D2" s="15" t="s">
        <v>382</v>
      </c>
      <c r="E2" s="15" t="s">
        <v>383</v>
      </c>
      <c r="F2" s="15" t="s">
        <v>384</v>
      </c>
      <c r="G2" s="15" t="s">
        <v>385</v>
      </c>
      <c r="H2" s="15" t="s">
        <v>386</v>
      </c>
      <c r="I2" s="15" t="s">
        <v>387</v>
      </c>
      <c r="J2" s="15" t="s">
        <v>388</v>
      </c>
      <c r="K2" s="15" t="s">
        <v>389</v>
      </c>
      <c r="L2" s="15" t="s">
        <v>390</v>
      </c>
      <c r="M2" s="15" t="s">
        <v>391</v>
      </c>
      <c r="N2" s="15" t="s">
        <v>392</v>
      </c>
      <c r="O2" s="15" t="s">
        <v>393</v>
      </c>
      <c r="P2" s="15" t="s">
        <v>394</v>
      </c>
      <c r="Q2" s="15" t="s">
        <v>395</v>
      </c>
      <c r="R2" s="15" t="s">
        <v>396</v>
      </c>
      <c r="S2" s="15" t="s">
        <v>397</v>
      </c>
      <c r="T2" s="15" t="s">
        <v>398</v>
      </c>
      <c r="U2" s="15" t="s">
        <v>399</v>
      </c>
      <c r="V2" s="15" t="s">
        <v>400</v>
      </c>
    </row>
    <row r="3" ht="30" customHeight="1" spans="1:22" x14ac:dyDescent="0.25">
      <c r="A3" s="20">
        <f>IF(Register!A3="","",Register!A3)</f>
      </c>
      <c r="B3" s="20">
        <f>IF(Register!C3="","",Register!C3)</f>
      </c>
      <c r="C3" s="16" t="s">
        <v>25</v>
      </c>
      <c r="D3" s="16" t="s">
        <v>69</v>
      </c>
      <c r="E3" s="16" t="s">
        <v>27</v>
      </c>
      <c r="F3" s="16" t="s">
        <v>49</v>
      </c>
      <c r="G3" s="16" t="s">
        <v>49</v>
      </c>
      <c r="H3" s="16" t="s">
        <v>29</v>
      </c>
      <c r="I3" s="16" t="s">
        <v>401</v>
      </c>
      <c r="J3" s="16" t="s">
        <v>51</v>
      </c>
      <c r="K3" s="20">
        <f>IF(J3="","",INDEX(Lists!$B$53:$B$56,MATCH(J3,Lists!$A$53:$A$56,0)))</f>
      </c>
      <c r="L3" s="16" t="s">
        <v>52</v>
      </c>
      <c r="M3" s="16" t="s">
        <v>32</v>
      </c>
      <c r="N3" s="16" t="s">
        <v>402</v>
      </c>
      <c r="O3" s="16" t="s">
        <v>33</v>
      </c>
      <c r="P3" s="16" t="s">
        <v>31</v>
      </c>
      <c r="Q3" s="16" t="s">
        <v>34</v>
      </c>
      <c r="R3" s="16" t="s">
        <v>34</v>
      </c>
      <c r="S3" s="16" t="s">
        <v>56</v>
      </c>
      <c r="T3" s="16" t="s">
        <v>56</v>
      </c>
      <c r="U3" s="16" t="s">
        <v>403</v>
      </c>
      <c r="V3" s="16" t="s">
        <v>404</v>
      </c>
    </row>
    <row r="4" ht="30" customHeight="1" spans="1:22" x14ac:dyDescent="0.25">
      <c r="A4" s="20">
        <f>IF(Register!A4="","",Register!A4)</f>
      </c>
      <c r="B4" s="20">
        <f>IF(Register!C4="","",Register!C4)</f>
      </c>
      <c r="C4" s="16" t="s">
        <v>46</v>
      </c>
      <c r="D4" s="16" t="s">
        <v>102</v>
      </c>
      <c r="E4" s="16" t="s">
        <v>70</v>
      </c>
      <c r="F4" s="16" t="s">
        <v>90</v>
      </c>
      <c r="G4" s="16" t="s">
        <v>49</v>
      </c>
      <c r="H4" s="16" t="s">
        <v>29</v>
      </c>
      <c r="I4" s="16" t="s">
        <v>405</v>
      </c>
      <c r="J4" s="16" t="s">
        <v>91</v>
      </c>
      <c r="K4" s="20">
        <f>IF(J4="","",INDEX(Lists!$B$53:$B$56,MATCH(J4,Lists!$A$53:$A$56,0)))</f>
      </c>
      <c r="L4" s="16" t="s">
        <v>104</v>
      </c>
      <c r="M4" s="16" t="s">
        <v>56</v>
      </c>
      <c r="N4" s="16" t="s">
        <v>406</v>
      </c>
      <c r="O4" s="16" t="s">
        <v>54</v>
      </c>
      <c r="P4" s="16" t="s">
        <v>75</v>
      </c>
      <c r="Q4" s="16" t="s">
        <v>56</v>
      </c>
      <c r="R4" s="16" t="s">
        <v>56</v>
      </c>
      <c r="S4" s="16" t="s">
        <v>56</v>
      </c>
      <c r="T4" s="16" t="s">
        <v>34</v>
      </c>
      <c r="U4" s="16" t="s">
        <v>407</v>
      </c>
      <c r="V4" s="16" t="s">
        <v>408</v>
      </c>
    </row>
    <row r="5" ht="30" customHeight="1" spans="1:22" x14ac:dyDescent="0.25">
      <c r="A5" s="20">
        <f>IF(Register!A5="","",Register!A5)</f>
      </c>
      <c r="B5" s="20">
        <f>IF(Register!C5="","",Register!C5)</f>
      </c>
      <c r="C5" s="16"/>
      <c r="D5" s="16"/>
      <c r="E5" s="16"/>
      <c r="F5" s="16"/>
      <c r="G5" s="16"/>
      <c r="H5" s="16"/>
      <c r="I5" s="16"/>
      <c r="J5" s="16"/>
      <c r="K5" s="20">
        <f>IF(J5="","",INDEX(Lists!$B$53:$B$56,MATCH(J5,Lists!$A$53:$A$56,0)))</f>
      </c>
      <c r="L5" s="16"/>
      <c r="M5" s="16"/>
      <c r="N5" s="16"/>
      <c r="O5" s="16"/>
      <c r="P5" s="16"/>
      <c r="Q5" s="16"/>
      <c r="R5" s="16"/>
      <c r="S5" s="16"/>
      <c r="T5" s="16"/>
      <c r="U5" s="16"/>
      <c r="V5" s="16"/>
    </row>
    <row r="6" ht="30" customHeight="1" spans="1:22" x14ac:dyDescent="0.25">
      <c r="A6" s="20">
        <f>IF(Register!A6="","",Register!A6)</f>
      </c>
      <c r="B6" s="20">
        <f>IF(Register!C6="","",Register!C6)</f>
      </c>
      <c r="C6" s="16"/>
      <c r="D6" s="16"/>
      <c r="E6" s="16"/>
      <c r="F6" s="16"/>
      <c r="G6" s="16"/>
      <c r="H6" s="16"/>
      <c r="I6" s="16"/>
      <c r="J6" s="16"/>
      <c r="K6" s="20">
        <f>IF(J6="","",INDEX(Lists!$B$53:$B$56,MATCH(J6,Lists!$A$53:$A$56,0)))</f>
      </c>
      <c r="L6" s="16"/>
      <c r="M6" s="16"/>
      <c r="N6" s="16"/>
      <c r="O6" s="16"/>
      <c r="P6" s="16"/>
      <c r="Q6" s="16"/>
      <c r="R6" s="16"/>
      <c r="S6" s="16"/>
      <c r="T6" s="16"/>
      <c r="U6" s="16"/>
      <c r="V6" s="16"/>
    </row>
    <row r="7" ht="30" customHeight="1" spans="1:22" x14ac:dyDescent="0.25">
      <c r="A7" s="20">
        <f>IF(Register!A7="","",Register!A7)</f>
      </c>
      <c r="B7" s="20">
        <f>IF(Register!C7="","",Register!C7)</f>
      </c>
      <c r="C7" s="16"/>
      <c r="D7" s="16"/>
      <c r="E7" s="16"/>
      <c r="F7" s="16"/>
      <c r="G7" s="16"/>
      <c r="H7" s="16"/>
      <c r="I7" s="16"/>
      <c r="J7" s="16"/>
      <c r="K7" s="20">
        <f>IF(J7="","",INDEX(Lists!$B$53:$B$56,MATCH(J7,Lists!$A$53:$A$56,0)))</f>
      </c>
      <c r="L7" s="16"/>
      <c r="M7" s="16"/>
      <c r="N7" s="16"/>
      <c r="O7" s="16"/>
      <c r="P7" s="16"/>
      <c r="Q7" s="16"/>
      <c r="R7" s="16"/>
      <c r="S7" s="16"/>
      <c r="T7" s="16"/>
      <c r="U7" s="16"/>
      <c r="V7" s="16"/>
    </row>
    <row r="8" ht="30" customHeight="1" spans="1:22" x14ac:dyDescent="0.25">
      <c r="A8" s="20">
        <f>IF(Register!A8="","",Register!A8)</f>
      </c>
      <c r="B8" s="20">
        <f>IF(Register!C8="","",Register!C8)</f>
      </c>
      <c r="C8" s="16"/>
      <c r="D8" s="16"/>
      <c r="E8" s="16"/>
      <c r="F8" s="16"/>
      <c r="G8" s="16"/>
      <c r="H8" s="16"/>
      <c r="I8" s="16"/>
      <c r="J8" s="16"/>
      <c r="K8" s="20">
        <f>IF(J8="","",INDEX(Lists!$B$53:$B$56,MATCH(J8,Lists!$A$53:$A$56,0)))</f>
      </c>
      <c r="L8" s="16"/>
      <c r="M8" s="16"/>
      <c r="N8" s="16"/>
      <c r="O8" s="16"/>
      <c r="P8" s="16"/>
      <c r="Q8" s="16"/>
      <c r="R8" s="16"/>
      <c r="S8" s="16"/>
      <c r="T8" s="16"/>
      <c r="U8" s="16"/>
      <c r="V8" s="16"/>
    </row>
    <row r="9" ht="30" customHeight="1" spans="1:22" x14ac:dyDescent="0.25">
      <c r="A9" s="20">
        <f>IF(Register!A9="","",Register!A9)</f>
      </c>
      <c r="B9" s="20">
        <f>IF(Register!C9="","",Register!C9)</f>
      </c>
      <c r="C9" s="16"/>
      <c r="D9" s="16"/>
      <c r="E9" s="16"/>
      <c r="F9" s="16"/>
      <c r="G9" s="16"/>
      <c r="H9" s="16"/>
      <c r="I9" s="16"/>
      <c r="J9" s="16"/>
      <c r="K9" s="20">
        <f>IF(J9="","",INDEX(Lists!$B$53:$B$56,MATCH(J9,Lists!$A$53:$A$56,0)))</f>
      </c>
      <c r="L9" s="16"/>
      <c r="M9" s="16"/>
      <c r="N9" s="16"/>
      <c r="O9" s="16"/>
      <c r="P9" s="16"/>
      <c r="Q9" s="16"/>
      <c r="R9" s="16"/>
      <c r="S9" s="16"/>
      <c r="T9" s="16"/>
      <c r="U9" s="16"/>
      <c r="V9" s="16"/>
    </row>
    <row r="10" ht="30" customHeight="1" spans="1:22" x14ac:dyDescent="0.25">
      <c r="A10" s="20">
        <f>IF(Register!A10="","",Register!A10)</f>
      </c>
      <c r="B10" s="20">
        <f>IF(Register!C10="","",Register!C10)</f>
      </c>
      <c r="C10" s="16"/>
      <c r="D10" s="16"/>
      <c r="E10" s="16"/>
      <c r="F10" s="16"/>
      <c r="G10" s="16"/>
      <c r="H10" s="16"/>
      <c r="I10" s="16"/>
      <c r="J10" s="16"/>
      <c r="K10" s="20">
        <f>IF(J10="","",INDEX(Lists!$B$53:$B$56,MATCH(J10,Lists!$A$53:$A$56,0)))</f>
      </c>
      <c r="L10" s="16"/>
      <c r="M10" s="16"/>
      <c r="N10" s="16"/>
      <c r="O10" s="16"/>
      <c r="P10" s="16"/>
      <c r="Q10" s="16"/>
      <c r="R10" s="16"/>
      <c r="S10" s="16"/>
      <c r="T10" s="16"/>
      <c r="U10" s="16"/>
      <c r="V10" s="16"/>
    </row>
    <row r="11" ht="30" customHeight="1" spans="1:22" x14ac:dyDescent="0.25">
      <c r="A11" s="20">
        <f>IF(Register!A11="","",Register!A11)</f>
      </c>
      <c r="B11" s="20">
        <f>IF(Register!C11="","",Register!C11)</f>
      </c>
      <c r="C11" s="16"/>
      <c r="D11" s="16"/>
      <c r="E11" s="16"/>
      <c r="F11" s="16"/>
      <c r="G11" s="16"/>
      <c r="H11" s="16"/>
      <c r="I11" s="16"/>
      <c r="J11" s="16"/>
      <c r="K11" s="20">
        <f>IF(J11="","",INDEX(Lists!$B$53:$B$56,MATCH(J11,Lists!$A$53:$A$56,0)))</f>
      </c>
      <c r="L11" s="16"/>
      <c r="M11" s="16"/>
      <c r="N11" s="16"/>
      <c r="O11" s="16"/>
      <c r="P11" s="16"/>
      <c r="Q11" s="16"/>
      <c r="R11" s="16"/>
      <c r="S11" s="16"/>
      <c r="T11" s="16"/>
      <c r="U11" s="16"/>
      <c r="V11" s="16"/>
    </row>
    <row r="12" ht="30" customHeight="1" spans="1:22" x14ac:dyDescent="0.25">
      <c r="A12" s="20">
        <f>IF(Register!A12="","",Register!A12)</f>
      </c>
      <c r="B12" s="20">
        <f>IF(Register!C12="","",Register!C12)</f>
      </c>
      <c r="C12" s="16"/>
      <c r="D12" s="16"/>
      <c r="E12" s="16"/>
      <c r="F12" s="16"/>
      <c r="G12" s="16"/>
      <c r="H12" s="16"/>
      <c r="I12" s="16"/>
      <c r="J12" s="16"/>
      <c r="K12" s="20">
        <f>IF(J12="","",INDEX(Lists!$B$53:$B$56,MATCH(J12,Lists!$A$53:$A$56,0)))</f>
      </c>
      <c r="L12" s="16"/>
      <c r="M12" s="16"/>
      <c r="N12" s="16"/>
      <c r="O12" s="16"/>
      <c r="P12" s="16"/>
      <c r="Q12" s="16"/>
      <c r="R12" s="16"/>
      <c r="S12" s="16"/>
      <c r="T12" s="16"/>
      <c r="U12" s="16"/>
      <c r="V12" s="16"/>
    </row>
    <row r="13" ht="30" customHeight="1" spans="1:22" x14ac:dyDescent="0.25">
      <c r="A13" s="20">
        <f>IF(Register!A13="","",Register!A13)</f>
      </c>
      <c r="B13" s="20">
        <f>IF(Register!C13="","",Register!C13)</f>
      </c>
      <c r="C13" s="16"/>
      <c r="D13" s="16"/>
      <c r="E13" s="16"/>
      <c r="F13" s="16"/>
      <c r="G13" s="16"/>
      <c r="H13" s="16"/>
      <c r="I13" s="16"/>
      <c r="J13" s="16"/>
      <c r="K13" s="20">
        <f>IF(J13="","",INDEX(Lists!$B$53:$B$56,MATCH(J13,Lists!$A$53:$A$56,0)))</f>
      </c>
      <c r="L13" s="16"/>
      <c r="M13" s="16"/>
      <c r="N13" s="16"/>
      <c r="O13" s="16"/>
      <c r="P13" s="16"/>
      <c r="Q13" s="16"/>
      <c r="R13" s="16"/>
      <c r="S13" s="16"/>
      <c r="T13" s="16"/>
      <c r="U13" s="16"/>
      <c r="V13" s="16"/>
    </row>
    <row r="14" ht="30" customHeight="1" spans="1:22" x14ac:dyDescent="0.25">
      <c r="A14" s="20">
        <f>IF(Register!A14="","",Register!A14)</f>
      </c>
      <c r="B14" s="20">
        <f>IF(Register!C14="","",Register!C14)</f>
      </c>
      <c r="C14" s="16"/>
      <c r="D14" s="16"/>
      <c r="E14" s="16"/>
      <c r="F14" s="16"/>
      <c r="G14" s="16"/>
      <c r="H14" s="16"/>
      <c r="I14" s="16"/>
      <c r="J14" s="16"/>
      <c r="K14" s="20">
        <f>IF(J14="","",INDEX(Lists!$B$53:$B$56,MATCH(J14,Lists!$A$53:$A$56,0)))</f>
      </c>
      <c r="L14" s="16"/>
      <c r="M14" s="16"/>
      <c r="N14" s="16"/>
      <c r="O14" s="16"/>
      <c r="P14" s="16"/>
      <c r="Q14" s="16"/>
      <c r="R14" s="16"/>
      <c r="S14" s="16"/>
      <c r="T14" s="16"/>
      <c r="U14" s="16"/>
      <c r="V14" s="16"/>
    </row>
    <row r="15" ht="30" customHeight="1" spans="1:22" x14ac:dyDescent="0.25">
      <c r="A15" s="20">
        <f>IF(Register!A15="","",Register!A15)</f>
      </c>
      <c r="B15" s="20">
        <f>IF(Register!C15="","",Register!C15)</f>
      </c>
      <c r="C15" s="16"/>
      <c r="D15" s="16"/>
      <c r="E15" s="16"/>
      <c r="F15" s="16"/>
      <c r="G15" s="16"/>
      <c r="H15" s="16"/>
      <c r="I15" s="16"/>
      <c r="J15" s="16"/>
      <c r="K15" s="20">
        <f>IF(J15="","",INDEX(Lists!$B$53:$B$56,MATCH(J15,Lists!$A$53:$A$56,0)))</f>
      </c>
      <c r="L15" s="16"/>
      <c r="M15" s="16"/>
      <c r="N15" s="16"/>
      <c r="O15" s="16"/>
      <c r="P15" s="16"/>
      <c r="Q15" s="16"/>
      <c r="R15" s="16"/>
      <c r="S15" s="16"/>
      <c r="T15" s="16"/>
      <c r="U15" s="16"/>
      <c r="V15" s="16"/>
    </row>
    <row r="16" ht="30" customHeight="1" spans="1:22" x14ac:dyDescent="0.25">
      <c r="A16" s="20">
        <f>IF(Register!A16="","",Register!A16)</f>
      </c>
      <c r="B16" s="20">
        <f>IF(Register!C16="","",Register!C16)</f>
      </c>
      <c r="C16" s="16"/>
      <c r="D16" s="16"/>
      <c r="E16" s="16"/>
      <c r="F16" s="16"/>
      <c r="G16" s="16"/>
      <c r="H16" s="16"/>
      <c r="I16" s="16"/>
      <c r="J16" s="16"/>
      <c r="K16" s="20">
        <f>IF(J16="","",INDEX(Lists!$B$53:$B$56,MATCH(J16,Lists!$A$53:$A$56,0)))</f>
      </c>
      <c r="L16" s="16"/>
      <c r="M16" s="16"/>
      <c r="N16" s="16"/>
      <c r="O16" s="16"/>
      <c r="P16" s="16"/>
      <c r="Q16" s="16"/>
      <c r="R16" s="16"/>
      <c r="S16" s="16"/>
      <c r="T16" s="16"/>
      <c r="U16" s="16"/>
      <c r="V16" s="16"/>
    </row>
    <row r="17" ht="30" customHeight="1" spans="1:22" x14ac:dyDescent="0.25">
      <c r="A17" s="20">
        <f>IF(Register!A17="","",Register!A17)</f>
      </c>
      <c r="B17" s="20">
        <f>IF(Register!C17="","",Register!C17)</f>
      </c>
      <c r="C17" s="16"/>
      <c r="D17" s="16"/>
      <c r="E17" s="16"/>
      <c r="F17" s="16"/>
      <c r="G17" s="16"/>
      <c r="H17" s="16"/>
      <c r="I17" s="16"/>
      <c r="J17" s="16"/>
      <c r="K17" s="20">
        <f>IF(J17="","",INDEX(Lists!$B$53:$B$56,MATCH(J17,Lists!$A$53:$A$56,0)))</f>
      </c>
      <c r="L17" s="16"/>
      <c r="M17" s="16"/>
      <c r="N17" s="16"/>
      <c r="O17" s="16"/>
      <c r="P17" s="16"/>
      <c r="Q17" s="16"/>
      <c r="R17" s="16"/>
      <c r="S17" s="16"/>
      <c r="T17" s="16"/>
      <c r="U17" s="16"/>
      <c r="V17" s="16"/>
    </row>
    <row r="18" ht="30" customHeight="1" spans="1:22" x14ac:dyDescent="0.25">
      <c r="A18" s="20">
        <f>IF(Register!A18="","",Register!A18)</f>
      </c>
      <c r="B18" s="20">
        <f>IF(Register!C18="","",Register!C18)</f>
      </c>
      <c r="C18" s="16"/>
      <c r="D18" s="16"/>
      <c r="E18" s="16"/>
      <c r="F18" s="16"/>
      <c r="G18" s="16"/>
      <c r="H18" s="16"/>
      <c r="I18" s="16"/>
      <c r="J18" s="16"/>
      <c r="K18" s="20">
        <f>IF(J18="","",INDEX(Lists!$B$53:$B$56,MATCH(J18,Lists!$A$53:$A$56,0)))</f>
      </c>
      <c r="L18" s="16"/>
      <c r="M18" s="16"/>
      <c r="N18" s="16"/>
      <c r="O18" s="16"/>
      <c r="P18" s="16"/>
      <c r="Q18" s="16"/>
      <c r="R18" s="16"/>
      <c r="S18" s="16"/>
      <c r="T18" s="16"/>
      <c r="U18" s="16"/>
      <c r="V18" s="16"/>
    </row>
    <row r="19" ht="30" customHeight="1" spans="1:22" x14ac:dyDescent="0.25">
      <c r="A19" s="20">
        <f>IF(Register!A19="","",Register!A19)</f>
      </c>
      <c r="B19" s="20">
        <f>IF(Register!C19="","",Register!C19)</f>
      </c>
      <c r="C19" s="16"/>
      <c r="D19" s="16"/>
      <c r="E19" s="16"/>
      <c r="F19" s="16"/>
      <c r="G19" s="16"/>
      <c r="H19" s="16"/>
      <c r="I19" s="16"/>
      <c r="J19" s="16"/>
      <c r="K19" s="20">
        <f>IF(J19="","",INDEX(Lists!$B$53:$B$56,MATCH(J19,Lists!$A$53:$A$56,0)))</f>
      </c>
      <c r="L19" s="16"/>
      <c r="M19" s="16"/>
      <c r="N19" s="16"/>
      <c r="O19" s="16"/>
      <c r="P19" s="16"/>
      <c r="Q19" s="16"/>
      <c r="R19" s="16"/>
      <c r="S19" s="16"/>
      <c r="T19" s="16"/>
      <c r="U19" s="16"/>
      <c r="V19" s="16"/>
    </row>
    <row r="20" ht="30" customHeight="1" spans="1:22" x14ac:dyDescent="0.25">
      <c r="A20" s="20">
        <f>IF(Register!A20="","",Register!A20)</f>
      </c>
      <c r="B20" s="20">
        <f>IF(Register!C20="","",Register!C20)</f>
      </c>
      <c r="C20" s="16"/>
      <c r="D20" s="16"/>
      <c r="E20" s="16"/>
      <c r="F20" s="16"/>
      <c r="G20" s="16"/>
      <c r="H20" s="16"/>
      <c r="I20" s="16"/>
      <c r="J20" s="16"/>
      <c r="K20" s="20">
        <f>IF(J20="","",INDEX(Lists!$B$53:$B$56,MATCH(J20,Lists!$A$53:$A$56,0)))</f>
      </c>
      <c r="L20" s="16"/>
      <c r="M20" s="16"/>
      <c r="N20" s="16"/>
      <c r="O20" s="16"/>
      <c r="P20" s="16"/>
      <c r="Q20" s="16"/>
      <c r="R20" s="16"/>
      <c r="S20" s="16"/>
      <c r="T20" s="16"/>
      <c r="U20" s="16"/>
      <c r="V20" s="16"/>
    </row>
    <row r="21" ht="30" customHeight="1" spans="1:22" x14ac:dyDescent="0.25">
      <c r="A21" s="20">
        <f>IF(Register!A21="","",Register!A21)</f>
      </c>
      <c r="B21" s="20">
        <f>IF(Register!C21="","",Register!C21)</f>
      </c>
      <c r="C21" s="16"/>
      <c r="D21" s="16"/>
      <c r="E21" s="16"/>
      <c r="F21" s="16"/>
      <c r="G21" s="16"/>
      <c r="H21" s="16"/>
      <c r="I21" s="16"/>
      <c r="J21" s="16"/>
      <c r="K21" s="20">
        <f>IF(J21="","",INDEX(Lists!$B$53:$B$56,MATCH(J21,Lists!$A$53:$A$56,0)))</f>
      </c>
      <c r="L21" s="16"/>
      <c r="M21" s="16"/>
      <c r="N21" s="16"/>
      <c r="O21" s="16"/>
      <c r="P21" s="16"/>
      <c r="Q21" s="16"/>
      <c r="R21" s="16"/>
      <c r="S21" s="16"/>
      <c r="T21" s="16"/>
      <c r="U21" s="16"/>
      <c r="V21" s="16"/>
    </row>
    <row r="22" ht="30" customHeight="1" spans="1:22" x14ac:dyDescent="0.25">
      <c r="A22" s="20">
        <f>IF(Register!A22="","",Register!A22)</f>
      </c>
      <c r="B22" s="20">
        <f>IF(Register!C22="","",Register!C22)</f>
      </c>
      <c r="C22" s="16"/>
      <c r="D22" s="16"/>
      <c r="E22" s="16"/>
      <c r="F22" s="16"/>
      <c r="G22" s="16"/>
      <c r="H22" s="16"/>
      <c r="I22" s="16"/>
      <c r="J22" s="16"/>
      <c r="K22" s="20">
        <f>IF(J22="","",INDEX(Lists!$B$53:$B$56,MATCH(J22,Lists!$A$53:$A$56,0)))</f>
      </c>
      <c r="L22" s="16"/>
      <c r="M22" s="16"/>
      <c r="N22" s="16"/>
      <c r="O22" s="16"/>
      <c r="P22" s="16"/>
      <c r="Q22" s="16"/>
      <c r="R22" s="16"/>
      <c r="S22" s="16"/>
      <c r="T22" s="16"/>
      <c r="U22" s="16"/>
      <c r="V22" s="16"/>
    </row>
    <row r="23" ht="30" customHeight="1" spans="1:22" x14ac:dyDescent="0.25">
      <c r="A23" s="20">
        <f>IF(Register!A23="","",Register!A23)</f>
      </c>
      <c r="B23" s="20">
        <f>IF(Register!C23="","",Register!C23)</f>
      </c>
      <c r="C23" s="16"/>
      <c r="D23" s="16"/>
      <c r="E23" s="16"/>
      <c r="F23" s="16"/>
      <c r="G23" s="16"/>
      <c r="H23" s="16"/>
      <c r="I23" s="16"/>
      <c r="J23" s="16"/>
      <c r="K23" s="20">
        <f>IF(J23="","",INDEX(Lists!$B$53:$B$56,MATCH(J23,Lists!$A$53:$A$56,0)))</f>
      </c>
      <c r="L23" s="16"/>
      <c r="M23" s="16"/>
      <c r="N23" s="16"/>
      <c r="O23" s="16"/>
      <c r="P23" s="16"/>
      <c r="Q23" s="16"/>
      <c r="R23" s="16"/>
      <c r="S23" s="16"/>
      <c r="T23" s="16"/>
      <c r="U23" s="16"/>
      <c r="V23" s="16"/>
    </row>
    <row r="24" ht="30" customHeight="1" spans="1:22" x14ac:dyDescent="0.25">
      <c r="A24" s="20">
        <f>IF(Register!A24="","",Register!A24)</f>
      </c>
      <c r="B24" s="20">
        <f>IF(Register!C24="","",Register!C24)</f>
      </c>
      <c r="C24" s="16"/>
      <c r="D24" s="16"/>
      <c r="E24" s="16"/>
      <c r="F24" s="16"/>
      <c r="G24" s="16"/>
      <c r="H24" s="16"/>
      <c r="I24" s="16"/>
      <c r="J24" s="16"/>
      <c r="K24" s="20">
        <f>IF(J24="","",INDEX(Lists!$B$53:$B$56,MATCH(J24,Lists!$A$53:$A$56,0)))</f>
      </c>
      <c r="L24" s="16"/>
      <c r="M24" s="16"/>
      <c r="N24" s="16"/>
      <c r="O24" s="16"/>
      <c r="P24" s="16"/>
      <c r="Q24" s="16"/>
      <c r="R24" s="16"/>
      <c r="S24" s="16"/>
      <c r="T24" s="16"/>
      <c r="U24" s="16"/>
      <c r="V24" s="16"/>
    </row>
    <row r="25" ht="30" customHeight="1" spans="1:22" x14ac:dyDescent="0.25">
      <c r="A25" s="20">
        <f>IF(Register!A25="","",Register!A25)</f>
      </c>
      <c r="B25" s="20">
        <f>IF(Register!C25="","",Register!C25)</f>
      </c>
      <c r="C25" s="16"/>
      <c r="D25" s="16"/>
      <c r="E25" s="16"/>
      <c r="F25" s="16"/>
      <c r="G25" s="16"/>
      <c r="H25" s="16"/>
      <c r="I25" s="16"/>
      <c r="J25" s="16"/>
      <c r="K25" s="20">
        <f>IF(J25="","",INDEX(Lists!$B$53:$B$56,MATCH(J25,Lists!$A$53:$A$56,0)))</f>
      </c>
      <c r="L25" s="16"/>
      <c r="M25" s="16"/>
      <c r="N25" s="16"/>
      <c r="O25" s="16"/>
      <c r="P25" s="16"/>
      <c r="Q25" s="16"/>
      <c r="R25" s="16"/>
      <c r="S25" s="16"/>
      <c r="T25" s="16"/>
      <c r="U25" s="16"/>
      <c r="V25" s="16"/>
    </row>
    <row r="26" ht="30" customHeight="1" spans="1:22" x14ac:dyDescent="0.25">
      <c r="A26" s="20">
        <f>IF(Register!A26="","",Register!A26)</f>
      </c>
      <c r="B26" s="20">
        <f>IF(Register!C26="","",Register!C26)</f>
      </c>
      <c r="C26" s="16"/>
      <c r="D26" s="16"/>
      <c r="E26" s="16"/>
      <c r="F26" s="16"/>
      <c r="G26" s="16"/>
      <c r="H26" s="16"/>
      <c r="I26" s="16"/>
      <c r="J26" s="16"/>
      <c r="K26" s="20">
        <f>IF(J26="","",INDEX(Lists!$B$53:$B$56,MATCH(J26,Lists!$A$53:$A$56,0)))</f>
      </c>
      <c r="L26" s="16"/>
      <c r="M26" s="16"/>
      <c r="N26" s="16"/>
      <c r="O26" s="16"/>
      <c r="P26" s="16"/>
      <c r="Q26" s="16"/>
      <c r="R26" s="16"/>
      <c r="S26" s="16"/>
      <c r="T26" s="16"/>
      <c r="U26" s="16"/>
      <c r="V26" s="16"/>
    </row>
    <row r="27" ht="30" customHeight="1" spans="1:22" x14ac:dyDescent="0.25">
      <c r="A27" s="20">
        <f>IF(Register!A27="","",Register!A27)</f>
      </c>
      <c r="B27" s="20">
        <f>IF(Register!C27="","",Register!C27)</f>
      </c>
      <c r="C27" s="16"/>
      <c r="D27" s="16"/>
      <c r="E27" s="16"/>
      <c r="F27" s="16"/>
      <c r="G27" s="16"/>
      <c r="H27" s="16"/>
      <c r="I27" s="16"/>
      <c r="J27" s="16"/>
      <c r="K27" s="20">
        <f>IF(J27="","",INDEX(Lists!$B$53:$B$56,MATCH(J27,Lists!$A$53:$A$56,0)))</f>
      </c>
      <c r="L27" s="16"/>
      <c r="M27" s="16"/>
      <c r="N27" s="16"/>
      <c r="O27" s="16"/>
      <c r="P27" s="16"/>
      <c r="Q27" s="16"/>
      <c r="R27" s="16"/>
      <c r="S27" s="16"/>
      <c r="T27" s="16"/>
      <c r="U27" s="16"/>
      <c r="V27" s="16"/>
    </row>
    <row r="28" ht="30" customHeight="1" spans="1:22" x14ac:dyDescent="0.25">
      <c r="A28" s="20">
        <f>IF(Register!A28="","",Register!A28)</f>
      </c>
      <c r="B28" s="20">
        <f>IF(Register!C28="","",Register!C28)</f>
      </c>
      <c r="C28" s="16"/>
      <c r="D28" s="16"/>
      <c r="E28" s="16"/>
      <c r="F28" s="16"/>
      <c r="G28" s="16"/>
      <c r="H28" s="16"/>
      <c r="I28" s="16"/>
      <c r="J28" s="16"/>
      <c r="K28" s="20">
        <f>IF(J28="","",INDEX(Lists!$B$53:$B$56,MATCH(J28,Lists!$A$53:$A$56,0)))</f>
      </c>
      <c r="L28" s="16"/>
      <c r="M28" s="16"/>
      <c r="N28" s="16"/>
      <c r="O28" s="16"/>
      <c r="P28" s="16"/>
      <c r="Q28" s="16"/>
      <c r="R28" s="16"/>
      <c r="S28" s="16"/>
      <c r="T28" s="16"/>
      <c r="U28" s="16"/>
      <c r="V28" s="16"/>
    </row>
    <row r="29" ht="30" customHeight="1" spans="1:22" x14ac:dyDescent="0.25">
      <c r="A29" s="20">
        <f>IF(Register!A29="","",Register!A29)</f>
      </c>
      <c r="B29" s="20">
        <f>IF(Register!C29="","",Register!C29)</f>
      </c>
      <c r="C29" s="16"/>
      <c r="D29" s="16"/>
      <c r="E29" s="16"/>
      <c r="F29" s="16"/>
      <c r="G29" s="16"/>
      <c r="H29" s="16"/>
      <c r="I29" s="16"/>
      <c r="J29" s="16"/>
      <c r="K29" s="20">
        <f>IF(J29="","",INDEX(Lists!$B$53:$B$56,MATCH(J29,Lists!$A$53:$A$56,0)))</f>
      </c>
      <c r="L29" s="16"/>
      <c r="M29" s="16"/>
      <c r="N29" s="16"/>
      <c r="O29" s="16"/>
      <c r="P29" s="16"/>
      <c r="Q29" s="16"/>
      <c r="R29" s="16"/>
      <c r="S29" s="16"/>
      <c r="T29" s="16"/>
      <c r="U29" s="16"/>
      <c r="V29" s="16"/>
    </row>
    <row r="30" ht="30" customHeight="1" spans="1:22" x14ac:dyDescent="0.25">
      <c r="A30" s="20">
        <f>IF(Register!A30="","",Register!A30)</f>
      </c>
      <c r="B30" s="20">
        <f>IF(Register!C30="","",Register!C30)</f>
      </c>
      <c r="C30" s="16"/>
      <c r="D30" s="16"/>
      <c r="E30" s="16"/>
      <c r="F30" s="16"/>
      <c r="G30" s="16"/>
      <c r="H30" s="16"/>
      <c r="I30" s="16"/>
      <c r="J30" s="16"/>
      <c r="K30" s="20">
        <f>IF(J30="","",INDEX(Lists!$B$53:$B$56,MATCH(J30,Lists!$A$53:$A$56,0)))</f>
      </c>
      <c r="L30" s="16"/>
      <c r="M30" s="16"/>
      <c r="N30" s="16"/>
      <c r="O30" s="16"/>
      <c r="P30" s="16"/>
      <c r="Q30" s="16"/>
      <c r="R30" s="16"/>
      <c r="S30" s="16"/>
      <c r="T30" s="16"/>
      <c r="U30" s="16"/>
      <c r="V30" s="16"/>
    </row>
    <row r="31" ht="30" customHeight="1" spans="1:22" x14ac:dyDescent="0.25">
      <c r="A31" s="20">
        <f>IF(Register!A31="","",Register!A31)</f>
      </c>
      <c r="B31" s="20">
        <f>IF(Register!C31="","",Register!C31)</f>
      </c>
      <c r="C31" s="16"/>
      <c r="D31" s="16"/>
      <c r="E31" s="16"/>
      <c r="F31" s="16"/>
      <c r="G31" s="16"/>
      <c r="H31" s="16"/>
      <c r="I31" s="16"/>
      <c r="J31" s="16"/>
      <c r="K31" s="20">
        <f>IF(J31="","",INDEX(Lists!$B$53:$B$56,MATCH(J31,Lists!$A$53:$A$56,0)))</f>
      </c>
      <c r="L31" s="16"/>
      <c r="M31" s="16"/>
      <c r="N31" s="16"/>
      <c r="O31" s="16"/>
      <c r="P31" s="16"/>
      <c r="Q31" s="16"/>
      <c r="R31" s="16"/>
      <c r="S31" s="16"/>
      <c r="T31" s="16"/>
      <c r="U31" s="16"/>
      <c r="V31" s="16"/>
    </row>
    <row r="32" ht="30" customHeight="1" spans="1:22" x14ac:dyDescent="0.25">
      <c r="A32" s="20">
        <f>IF(Register!A32="","",Register!A32)</f>
      </c>
      <c r="B32" s="20">
        <f>IF(Register!C32="","",Register!C32)</f>
      </c>
      <c r="C32" s="16"/>
      <c r="D32" s="16"/>
      <c r="E32" s="16"/>
      <c r="F32" s="16"/>
      <c r="G32" s="16"/>
      <c r="H32" s="16"/>
      <c r="I32" s="16"/>
      <c r="J32" s="16"/>
      <c r="K32" s="20">
        <f>IF(J32="","",INDEX(Lists!$B$53:$B$56,MATCH(J32,Lists!$A$53:$A$56,0)))</f>
      </c>
      <c r="L32" s="16"/>
      <c r="M32" s="16"/>
      <c r="N32" s="16"/>
      <c r="O32" s="16"/>
      <c r="P32" s="16"/>
      <c r="Q32" s="16"/>
      <c r="R32" s="16"/>
      <c r="S32" s="16"/>
      <c r="T32" s="16"/>
      <c r="U32" s="16"/>
      <c r="V32" s="16"/>
    </row>
    <row r="33" ht="30" customHeight="1" spans="1:22" x14ac:dyDescent="0.25">
      <c r="A33" s="20">
        <f>IF(Register!A33="","",Register!A33)</f>
      </c>
      <c r="B33" s="20">
        <f>IF(Register!C33="","",Register!C33)</f>
      </c>
      <c r="C33" s="16"/>
      <c r="D33" s="16"/>
      <c r="E33" s="16"/>
      <c r="F33" s="16"/>
      <c r="G33" s="16"/>
      <c r="H33" s="16"/>
      <c r="I33" s="16"/>
      <c r="J33" s="16"/>
      <c r="K33" s="20">
        <f>IF(J33="","",INDEX(Lists!$B$53:$B$56,MATCH(J33,Lists!$A$53:$A$56,0)))</f>
      </c>
      <c r="L33" s="16"/>
      <c r="M33" s="16"/>
      <c r="N33" s="16"/>
      <c r="O33" s="16"/>
      <c r="P33" s="16"/>
      <c r="Q33" s="16"/>
      <c r="R33" s="16"/>
      <c r="S33" s="16"/>
      <c r="T33" s="16"/>
      <c r="U33" s="16"/>
      <c r="V33" s="16"/>
    </row>
    <row r="34" ht="30" customHeight="1" spans="1:22" x14ac:dyDescent="0.25">
      <c r="A34" s="20">
        <f>IF(Register!A34="","",Register!A34)</f>
      </c>
      <c r="B34" s="20">
        <f>IF(Register!C34="","",Register!C34)</f>
      </c>
      <c r="C34" s="16"/>
      <c r="D34" s="16"/>
      <c r="E34" s="16"/>
      <c r="F34" s="16"/>
      <c r="G34" s="16"/>
      <c r="H34" s="16"/>
      <c r="I34" s="16"/>
      <c r="J34" s="16"/>
      <c r="K34" s="20">
        <f>IF(J34="","",INDEX(Lists!$B$53:$B$56,MATCH(J34,Lists!$A$53:$A$56,0)))</f>
      </c>
      <c r="L34" s="16"/>
      <c r="M34" s="16"/>
      <c r="N34" s="16"/>
      <c r="O34" s="16"/>
      <c r="P34" s="16"/>
      <c r="Q34" s="16"/>
      <c r="R34" s="16"/>
      <c r="S34" s="16"/>
      <c r="T34" s="16"/>
      <c r="U34" s="16"/>
      <c r="V34" s="16"/>
    </row>
    <row r="35" ht="30" customHeight="1" spans="1:22" x14ac:dyDescent="0.25">
      <c r="A35" s="20">
        <f>IF(Register!A35="","",Register!A35)</f>
      </c>
      <c r="B35" s="20">
        <f>IF(Register!C35="","",Register!C35)</f>
      </c>
      <c r="C35" s="16"/>
      <c r="D35" s="16"/>
      <c r="E35" s="16"/>
      <c r="F35" s="16"/>
      <c r="G35" s="16"/>
      <c r="H35" s="16"/>
      <c r="I35" s="16"/>
      <c r="J35" s="16"/>
      <c r="K35" s="20">
        <f>IF(J35="","",INDEX(Lists!$B$53:$B$56,MATCH(J35,Lists!$A$53:$A$56,0)))</f>
      </c>
      <c r="L35" s="16"/>
      <c r="M35" s="16"/>
      <c r="N35" s="16"/>
      <c r="O35" s="16"/>
      <c r="P35" s="16"/>
      <c r="Q35" s="16"/>
      <c r="R35" s="16"/>
      <c r="S35" s="16"/>
      <c r="T35" s="16"/>
      <c r="U35" s="16"/>
      <c r="V35" s="16"/>
    </row>
    <row r="36" ht="30" customHeight="1" spans="1:22" x14ac:dyDescent="0.25">
      <c r="A36" s="20">
        <f>IF(Register!A36="","",Register!A36)</f>
      </c>
      <c r="B36" s="20">
        <f>IF(Register!C36="","",Register!C36)</f>
      </c>
      <c r="C36" s="16"/>
      <c r="D36" s="16"/>
      <c r="E36" s="16"/>
      <c r="F36" s="16"/>
      <c r="G36" s="16"/>
      <c r="H36" s="16"/>
      <c r="I36" s="16"/>
      <c r="J36" s="16"/>
      <c r="K36" s="20">
        <f>IF(J36="","",INDEX(Lists!$B$53:$B$56,MATCH(J36,Lists!$A$53:$A$56,0)))</f>
      </c>
      <c r="L36" s="16"/>
      <c r="M36" s="16"/>
      <c r="N36" s="16"/>
      <c r="O36" s="16"/>
      <c r="P36" s="16"/>
      <c r="Q36" s="16"/>
      <c r="R36" s="16"/>
      <c r="S36" s="16"/>
      <c r="T36" s="16"/>
      <c r="U36" s="16"/>
      <c r="V36" s="16"/>
    </row>
    <row r="37" ht="30" customHeight="1" spans="1:22" x14ac:dyDescent="0.25">
      <c r="A37" s="20">
        <f>IF(Register!A37="","",Register!A37)</f>
      </c>
      <c r="B37" s="20">
        <f>IF(Register!C37="","",Register!C37)</f>
      </c>
      <c r="C37" s="16"/>
      <c r="D37" s="16"/>
      <c r="E37" s="16"/>
      <c r="F37" s="16"/>
      <c r="G37" s="16"/>
      <c r="H37" s="16"/>
      <c r="I37" s="16"/>
      <c r="J37" s="16"/>
      <c r="K37" s="20">
        <f>IF(J37="","",INDEX(Lists!$B$53:$B$56,MATCH(J37,Lists!$A$53:$A$56,0)))</f>
      </c>
      <c r="L37" s="16"/>
      <c r="M37" s="16"/>
      <c r="N37" s="16"/>
      <c r="O37" s="16"/>
      <c r="P37" s="16"/>
      <c r="Q37" s="16"/>
      <c r="R37" s="16"/>
      <c r="S37" s="16"/>
      <c r="T37" s="16"/>
      <c r="U37" s="16"/>
      <c r="V37" s="16"/>
    </row>
    <row r="38" ht="30" customHeight="1" spans="1:22" x14ac:dyDescent="0.25">
      <c r="A38" s="20">
        <f>IF(Register!A38="","",Register!A38)</f>
      </c>
      <c r="B38" s="20">
        <f>IF(Register!C38="","",Register!C38)</f>
      </c>
      <c r="C38" s="16"/>
      <c r="D38" s="16"/>
      <c r="E38" s="16"/>
      <c r="F38" s="16"/>
      <c r="G38" s="16"/>
      <c r="H38" s="16"/>
      <c r="I38" s="16"/>
      <c r="J38" s="16"/>
      <c r="K38" s="20">
        <f>IF(J38="","",INDEX(Lists!$B$53:$B$56,MATCH(J38,Lists!$A$53:$A$56,0)))</f>
      </c>
      <c r="L38" s="16"/>
      <c r="M38" s="16"/>
      <c r="N38" s="16"/>
      <c r="O38" s="16"/>
      <c r="P38" s="16"/>
      <c r="Q38" s="16"/>
      <c r="R38" s="16"/>
      <c r="S38" s="16"/>
      <c r="T38" s="16"/>
      <c r="U38" s="16"/>
      <c r="V38" s="16"/>
    </row>
    <row r="39" ht="30" customHeight="1" spans="1:22" x14ac:dyDescent="0.25">
      <c r="A39" s="20">
        <f>IF(Register!A39="","",Register!A39)</f>
      </c>
      <c r="B39" s="20">
        <f>IF(Register!C39="","",Register!C39)</f>
      </c>
      <c r="C39" s="16"/>
      <c r="D39" s="16"/>
      <c r="E39" s="16"/>
      <c r="F39" s="16"/>
      <c r="G39" s="16"/>
      <c r="H39" s="16"/>
      <c r="I39" s="16"/>
      <c r="J39" s="16"/>
      <c r="K39" s="20">
        <f>IF(J39="","",INDEX(Lists!$B$53:$B$56,MATCH(J39,Lists!$A$53:$A$56,0)))</f>
      </c>
      <c r="L39" s="16"/>
      <c r="M39" s="16"/>
      <c r="N39" s="16"/>
      <c r="O39" s="16"/>
      <c r="P39" s="16"/>
      <c r="Q39" s="16"/>
      <c r="R39" s="16"/>
      <c r="S39" s="16"/>
      <c r="T39" s="16"/>
      <c r="U39" s="16"/>
      <c r="V39" s="16"/>
    </row>
    <row r="40" ht="30" customHeight="1" spans="1:22" x14ac:dyDescent="0.25">
      <c r="A40" s="20">
        <f>IF(Register!A40="","",Register!A40)</f>
      </c>
      <c r="B40" s="20">
        <f>IF(Register!C40="","",Register!C40)</f>
      </c>
      <c r="C40" s="16"/>
      <c r="D40" s="16"/>
      <c r="E40" s="16"/>
      <c r="F40" s="16"/>
      <c r="G40" s="16"/>
      <c r="H40" s="16"/>
      <c r="I40" s="16"/>
      <c r="J40" s="16"/>
      <c r="K40" s="20">
        <f>IF(J40="","",INDEX(Lists!$B$53:$B$56,MATCH(J40,Lists!$A$53:$A$56,0)))</f>
      </c>
      <c r="L40" s="16"/>
      <c r="M40" s="16"/>
      <c r="N40" s="16"/>
      <c r="O40" s="16"/>
      <c r="P40" s="16"/>
      <c r="Q40" s="16"/>
      <c r="R40" s="16"/>
      <c r="S40" s="16"/>
      <c r="T40" s="16"/>
      <c r="U40" s="16"/>
      <c r="V40" s="16"/>
    </row>
    <row r="41" ht="30" customHeight="1" spans="1:22" x14ac:dyDescent="0.25">
      <c r="A41" s="20">
        <f>IF(Register!A41="","",Register!A41)</f>
      </c>
      <c r="B41" s="20">
        <f>IF(Register!C41="","",Register!C41)</f>
      </c>
      <c r="C41" s="16"/>
      <c r="D41" s="16"/>
      <c r="E41" s="16"/>
      <c r="F41" s="16"/>
      <c r="G41" s="16"/>
      <c r="H41" s="16"/>
      <c r="I41" s="16"/>
      <c r="J41" s="16"/>
      <c r="K41" s="20">
        <f>IF(J41="","",INDEX(Lists!$B$53:$B$56,MATCH(J41,Lists!$A$53:$A$56,0)))</f>
      </c>
      <c r="L41" s="16"/>
      <c r="M41" s="16"/>
      <c r="N41" s="16"/>
      <c r="O41" s="16"/>
      <c r="P41" s="16"/>
      <c r="Q41" s="16"/>
      <c r="R41" s="16"/>
      <c r="S41" s="16"/>
      <c r="T41" s="16"/>
      <c r="U41" s="16"/>
      <c r="V41" s="16"/>
    </row>
    <row r="42" ht="30" customHeight="1" spans="1:22" x14ac:dyDescent="0.25">
      <c r="A42" s="20">
        <f>IF(Register!A42="","",Register!A42)</f>
      </c>
      <c r="B42" s="20">
        <f>IF(Register!C42="","",Register!C42)</f>
      </c>
      <c r="C42" s="16"/>
      <c r="D42" s="16"/>
      <c r="E42" s="16"/>
      <c r="F42" s="16"/>
      <c r="G42" s="16"/>
      <c r="H42" s="16"/>
      <c r="I42" s="16"/>
      <c r="J42" s="16"/>
      <c r="K42" s="20">
        <f>IF(J42="","",INDEX(Lists!$B$53:$B$56,MATCH(J42,Lists!$A$53:$A$56,0)))</f>
      </c>
      <c r="L42" s="16"/>
      <c r="M42" s="16"/>
      <c r="N42" s="16"/>
      <c r="O42" s="16"/>
      <c r="P42" s="16"/>
      <c r="Q42" s="16"/>
      <c r="R42" s="16"/>
      <c r="S42" s="16"/>
      <c r="T42" s="16"/>
      <c r="U42" s="16"/>
      <c r="V42" s="16"/>
    </row>
    <row r="43" ht="30" customHeight="1" spans="1:22" x14ac:dyDescent="0.25">
      <c r="A43" s="20">
        <f>IF(Register!A43="","",Register!A43)</f>
      </c>
      <c r="B43" s="20">
        <f>IF(Register!C43="","",Register!C43)</f>
      </c>
      <c r="C43" s="16"/>
      <c r="D43" s="16"/>
      <c r="E43" s="16"/>
      <c r="F43" s="16"/>
      <c r="G43" s="16"/>
      <c r="H43" s="16"/>
      <c r="I43" s="16"/>
      <c r="J43" s="16"/>
      <c r="K43" s="20">
        <f>IF(J43="","",INDEX(Lists!$B$53:$B$56,MATCH(J43,Lists!$A$53:$A$56,0)))</f>
      </c>
      <c r="L43" s="16"/>
      <c r="M43" s="16"/>
      <c r="N43" s="16"/>
      <c r="O43" s="16"/>
      <c r="P43" s="16"/>
      <c r="Q43" s="16"/>
      <c r="R43" s="16"/>
      <c r="S43" s="16"/>
      <c r="T43" s="16"/>
      <c r="U43" s="16"/>
      <c r="V43" s="16"/>
    </row>
    <row r="44" ht="30" customHeight="1" spans="1:22" x14ac:dyDescent="0.25">
      <c r="A44" s="20">
        <f>IF(Register!A44="","",Register!A44)</f>
      </c>
      <c r="B44" s="20">
        <f>IF(Register!C44="","",Register!C44)</f>
      </c>
      <c r="C44" s="16"/>
      <c r="D44" s="16"/>
      <c r="E44" s="16"/>
      <c r="F44" s="16"/>
      <c r="G44" s="16"/>
      <c r="H44" s="16"/>
      <c r="I44" s="16"/>
      <c r="J44" s="16"/>
      <c r="K44" s="20">
        <f>IF(J44="","",INDEX(Lists!$B$53:$B$56,MATCH(J44,Lists!$A$53:$A$56,0)))</f>
      </c>
      <c r="L44" s="16"/>
      <c r="M44" s="16"/>
      <c r="N44" s="16"/>
      <c r="O44" s="16"/>
      <c r="P44" s="16"/>
      <c r="Q44" s="16"/>
      <c r="R44" s="16"/>
      <c r="S44" s="16"/>
      <c r="T44" s="16"/>
      <c r="U44" s="16"/>
      <c r="V44" s="16"/>
    </row>
    <row r="45" ht="30" customHeight="1" spans="1:22" x14ac:dyDescent="0.25">
      <c r="A45" s="20">
        <f>IF(Register!A45="","",Register!A45)</f>
      </c>
      <c r="B45" s="20">
        <f>IF(Register!C45="","",Register!C45)</f>
      </c>
      <c r="C45" s="16"/>
      <c r="D45" s="16"/>
      <c r="E45" s="16"/>
      <c r="F45" s="16"/>
      <c r="G45" s="16"/>
      <c r="H45" s="16"/>
      <c r="I45" s="16"/>
      <c r="J45" s="16"/>
      <c r="K45" s="20">
        <f>IF(J45="","",INDEX(Lists!$B$53:$B$56,MATCH(J45,Lists!$A$53:$A$56,0)))</f>
      </c>
      <c r="L45" s="16"/>
      <c r="M45" s="16"/>
      <c r="N45" s="16"/>
      <c r="O45" s="16"/>
      <c r="P45" s="16"/>
      <c r="Q45" s="16"/>
      <c r="R45" s="16"/>
      <c r="S45" s="16"/>
      <c r="T45" s="16"/>
      <c r="U45" s="16"/>
      <c r="V45" s="16"/>
    </row>
    <row r="46" ht="30" customHeight="1" spans="1:22" x14ac:dyDescent="0.25">
      <c r="A46" s="20">
        <f>IF(Register!A46="","",Register!A46)</f>
      </c>
      <c r="B46" s="20">
        <f>IF(Register!C46="","",Register!C46)</f>
      </c>
      <c r="C46" s="16"/>
      <c r="D46" s="16"/>
      <c r="E46" s="16"/>
      <c r="F46" s="16"/>
      <c r="G46" s="16"/>
      <c r="H46" s="16"/>
      <c r="I46" s="16"/>
      <c r="J46" s="16"/>
      <c r="K46" s="20">
        <f>IF(J46="","",INDEX(Lists!$B$53:$B$56,MATCH(J46,Lists!$A$53:$A$56,0)))</f>
      </c>
      <c r="L46" s="16"/>
      <c r="M46" s="16"/>
      <c r="N46" s="16"/>
      <c r="O46" s="16"/>
      <c r="P46" s="16"/>
      <c r="Q46" s="16"/>
      <c r="R46" s="16"/>
      <c r="S46" s="16"/>
      <c r="T46" s="16"/>
      <c r="U46" s="16"/>
      <c r="V46" s="16"/>
    </row>
    <row r="47" ht="30" customHeight="1" spans="1:22" x14ac:dyDescent="0.25">
      <c r="A47" s="20">
        <f>IF(Register!A47="","",Register!A47)</f>
      </c>
      <c r="B47" s="20">
        <f>IF(Register!C47="","",Register!C47)</f>
      </c>
      <c r="C47" s="16"/>
      <c r="D47" s="16"/>
      <c r="E47" s="16"/>
      <c r="F47" s="16"/>
      <c r="G47" s="16"/>
      <c r="H47" s="16"/>
      <c r="I47" s="16"/>
      <c r="J47" s="16"/>
      <c r="K47" s="20">
        <f>IF(J47="","",INDEX(Lists!$B$53:$B$56,MATCH(J47,Lists!$A$53:$A$56,0)))</f>
      </c>
      <c r="L47" s="16"/>
      <c r="M47" s="16"/>
      <c r="N47" s="16"/>
      <c r="O47" s="16"/>
      <c r="P47" s="16"/>
      <c r="Q47" s="16"/>
      <c r="R47" s="16"/>
      <c r="S47" s="16"/>
      <c r="T47" s="16"/>
      <c r="U47" s="16"/>
      <c r="V47" s="16"/>
    </row>
    <row r="48" ht="30" customHeight="1" spans="1:22" x14ac:dyDescent="0.25">
      <c r="A48" s="20">
        <f>IF(Register!A48="","",Register!A48)</f>
      </c>
      <c r="B48" s="20">
        <f>IF(Register!C48="","",Register!C48)</f>
      </c>
      <c r="C48" s="16"/>
      <c r="D48" s="16"/>
      <c r="E48" s="16"/>
      <c r="F48" s="16"/>
      <c r="G48" s="16"/>
      <c r="H48" s="16"/>
      <c r="I48" s="16"/>
      <c r="J48" s="16"/>
      <c r="K48" s="20">
        <f>IF(J48="","",INDEX(Lists!$B$53:$B$56,MATCH(J48,Lists!$A$53:$A$56,0)))</f>
      </c>
      <c r="L48" s="16"/>
      <c r="M48" s="16"/>
      <c r="N48" s="16"/>
      <c r="O48" s="16"/>
      <c r="P48" s="16"/>
      <c r="Q48" s="16"/>
      <c r="R48" s="16"/>
      <c r="S48" s="16"/>
      <c r="T48" s="16"/>
      <c r="U48" s="16"/>
      <c r="V48" s="16"/>
    </row>
    <row r="49" ht="30" customHeight="1" spans="1:22" x14ac:dyDescent="0.25">
      <c r="A49" s="20">
        <f>IF(Register!A49="","",Register!A49)</f>
      </c>
      <c r="B49" s="20">
        <f>IF(Register!C49="","",Register!C49)</f>
      </c>
      <c r="C49" s="16"/>
      <c r="D49" s="16"/>
      <c r="E49" s="16"/>
      <c r="F49" s="16"/>
      <c r="G49" s="16"/>
      <c r="H49" s="16"/>
      <c r="I49" s="16"/>
      <c r="J49" s="16"/>
      <c r="K49" s="20">
        <f>IF(J49="","",INDEX(Lists!$B$53:$B$56,MATCH(J49,Lists!$A$53:$A$56,0)))</f>
      </c>
      <c r="L49" s="16"/>
      <c r="M49" s="16"/>
      <c r="N49" s="16"/>
      <c r="O49" s="16"/>
      <c r="P49" s="16"/>
      <c r="Q49" s="16"/>
      <c r="R49" s="16"/>
      <c r="S49" s="16"/>
      <c r="T49" s="16"/>
      <c r="U49" s="16"/>
      <c r="V49" s="16"/>
    </row>
    <row r="50" ht="30" customHeight="1" spans="1:22" x14ac:dyDescent="0.25">
      <c r="A50" s="20">
        <f>IF(Register!A50="","",Register!A50)</f>
      </c>
      <c r="B50" s="20">
        <f>IF(Register!C50="","",Register!C50)</f>
      </c>
      <c r="C50" s="16"/>
      <c r="D50" s="16"/>
      <c r="E50" s="16"/>
      <c r="F50" s="16"/>
      <c r="G50" s="16"/>
      <c r="H50" s="16"/>
      <c r="I50" s="16"/>
      <c r="J50" s="16"/>
      <c r="K50" s="20">
        <f>IF(J50="","",INDEX(Lists!$B$53:$B$56,MATCH(J50,Lists!$A$53:$A$56,0)))</f>
      </c>
      <c r="L50" s="16"/>
      <c r="M50" s="16"/>
      <c r="N50" s="16"/>
      <c r="O50" s="16"/>
      <c r="P50" s="16"/>
      <c r="Q50" s="16"/>
      <c r="R50" s="16"/>
      <c r="S50" s="16"/>
      <c r="T50" s="16"/>
      <c r="U50" s="16"/>
      <c r="V50" s="16"/>
    </row>
    <row r="51" ht="30" customHeight="1" spans="1:22" x14ac:dyDescent="0.25">
      <c r="A51" s="20">
        <f>IF(Register!A51="","",Register!A51)</f>
      </c>
      <c r="B51" s="20">
        <f>IF(Register!C51="","",Register!C51)</f>
      </c>
      <c r="C51" s="16"/>
      <c r="D51" s="16"/>
      <c r="E51" s="16"/>
      <c r="F51" s="16"/>
      <c r="G51" s="16"/>
      <c r="H51" s="16"/>
      <c r="I51" s="16"/>
      <c r="J51" s="16"/>
      <c r="K51" s="20">
        <f>IF(J51="","",INDEX(Lists!$B$53:$B$56,MATCH(J51,Lists!$A$53:$A$56,0)))</f>
      </c>
      <c r="L51" s="16"/>
      <c r="M51" s="16"/>
      <c r="N51" s="16"/>
      <c r="O51" s="16"/>
      <c r="P51" s="16"/>
      <c r="Q51" s="16"/>
      <c r="R51" s="16"/>
      <c r="S51" s="16"/>
      <c r="T51" s="16"/>
      <c r="U51" s="16"/>
      <c r="V51" s="16"/>
    </row>
    <row r="52" ht="30" customHeight="1" spans="1:22" x14ac:dyDescent="0.25">
      <c r="A52" s="20">
        <f>IF(Register!A52="","",Register!A52)</f>
      </c>
      <c r="B52" s="20">
        <f>IF(Register!C52="","",Register!C52)</f>
      </c>
      <c r="C52" s="16"/>
      <c r="D52" s="16"/>
      <c r="E52" s="16"/>
      <c r="F52" s="16"/>
      <c r="G52" s="16"/>
      <c r="H52" s="16"/>
      <c r="I52" s="16"/>
      <c r="J52" s="16"/>
      <c r="K52" s="20">
        <f>IF(J52="","",INDEX(Lists!$B$53:$B$56,MATCH(J52,Lists!$A$53:$A$56,0)))</f>
      </c>
      <c r="L52" s="16"/>
      <c r="M52" s="16"/>
      <c r="N52" s="16"/>
      <c r="O52" s="16"/>
      <c r="P52" s="16"/>
      <c r="Q52" s="16"/>
      <c r="R52" s="16"/>
      <c r="S52" s="16"/>
      <c r="T52" s="16"/>
      <c r="U52" s="16"/>
      <c r="V52" s="16"/>
    </row>
  </sheetData>
  <autoFilter ref="A2:V52"/>
  <mergeCells count="4">
    <mergeCell ref="A1:B1"/>
    <mergeCell ref="C1:I1"/>
    <mergeCell ref="J1:P1"/>
    <mergeCell ref="Q1:V1"/>
  </mergeCells>
  <dataValidations count="22">
    <dataValidation type="list" allowBlank="1" sqref="C10:C52">
      <formula1>Lists!$C$3:$C$7</formula1>
    </dataValidation>
    <dataValidation type="list" allowBlank="1" sqref="C3:C52">
      <formula1>Lists!$C$3:$C$7</formula1>
    </dataValidation>
    <dataValidation type="list" allowBlank="1" sqref="D10:D52">
      <formula1>Lists!$D$3:$D$8</formula1>
    </dataValidation>
    <dataValidation type="list" allowBlank="1" sqref="D3:D52">
      <formula1>Lists!$D$3:$D$8</formula1>
    </dataValidation>
    <dataValidation type="list" allowBlank="1" sqref="E10:E52">
      <formula1>Lists!$E$3:$E$6</formula1>
    </dataValidation>
    <dataValidation type="list" allowBlank="1" sqref="E3:E52">
      <formula1>Lists!$E$3:$E$6</formula1>
    </dataValidation>
    <dataValidation type="list" allowBlank="1" sqref="F10:G52">
      <formula1>Lists!$F$3:$F$7</formula1>
    </dataValidation>
    <dataValidation type="list" allowBlank="1" sqref="F3:G52">
      <formula1>Lists!$F$3:$F$7</formula1>
    </dataValidation>
    <dataValidation type="list" allowBlank="1" sqref="H10:H52">
      <formula1>Lists!$G$3:$G$4</formula1>
    </dataValidation>
    <dataValidation type="list" allowBlank="1" sqref="H3:H52">
      <formula1>Lists!$G$3:$G$4</formula1>
    </dataValidation>
    <dataValidation type="list" allowBlank="1" sqref="J10:J52">
      <formula1>Lists!$H$3:$H$6</formula1>
    </dataValidation>
    <dataValidation type="list" allowBlank="1" sqref="J3:J52">
      <formula1>Lists!$H$3:$H$6</formula1>
    </dataValidation>
    <dataValidation type="list" allowBlank="1" sqref="L10:L52">
      <formula1>Lists!$I$3:$I$7</formula1>
    </dataValidation>
    <dataValidation type="list" allowBlank="1" sqref="L3:L52">
      <formula1>Lists!$I$3:$I$7</formula1>
    </dataValidation>
    <dataValidation type="list" allowBlank="1" sqref="M10:M52">
      <formula1>Lists!$J$3:$J$5</formula1>
    </dataValidation>
    <dataValidation type="list" allowBlank="1" sqref="M3:M52">
      <formula1>Lists!$J$3:$J$5</formula1>
    </dataValidation>
    <dataValidation type="list" allowBlank="1" sqref="O10:O52">
      <formula1>Lists!$K$3:$K$5</formula1>
    </dataValidation>
    <dataValidation type="list" allowBlank="1" sqref="O3:O52">
      <formula1>Lists!$K$3:$K$5</formula1>
    </dataValidation>
    <dataValidation type="list" allowBlank="1" sqref="P10:P52">
      <formula1>Lists!$L$3:$L$5</formula1>
    </dataValidation>
    <dataValidation type="list" allowBlank="1" sqref="P3:P52">
      <formula1>Lists!$L$3:$L$5</formula1>
    </dataValidation>
    <dataValidation type="list" allowBlank="1" sqref="Q10:T52">
      <formula1>Lists!$M$3:$M$5</formula1>
    </dataValidation>
    <dataValidation type="list" allowBlank="1" sqref="Q3:T52">
      <formula1>Lists!$M$3:$M$5</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A9E"/>
  </sheetPr>
  <dimension ref="A1:AB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3" width="15" customWidth="1"/>
    <col min="4" max="4" width="12" customWidth="1"/>
    <col min="5" max="5" width="10" customWidth="1"/>
    <col min="6" max="6" width="15" customWidth="1"/>
    <col min="7" max="8" width="8" customWidth="1"/>
    <col min="11" max="11" width="16" customWidth="1"/>
    <col min="12" max="12" width="40" customWidth="1"/>
    <col min="13" max="13" width="16" customWidth="1"/>
    <col min="14" max="14" width="30" customWidth="1"/>
    <col min="15" max="21" width="12" customWidth="1"/>
    <col min="22" max="22" width="24" customWidth="1"/>
    <col min="23" max="23" width="14" customWidth="1"/>
    <col min="24" max="27" width="11" customWidth="1"/>
    <col min="28" max="28" width="22" customWidth="1"/>
  </cols>
  <sheetData>
    <row r="1" ht="20" customHeight="1" spans="1:28" x14ac:dyDescent="0.25">
      <c r="A1" s="11" t="s">
        <v>331</v>
      </c>
      <c r="B1" s="11"/>
      <c r="C1" s="29" t="s">
        <v>409</v>
      </c>
      <c r="D1" s="29"/>
      <c r="E1" s="29"/>
      <c r="F1" s="29"/>
      <c r="G1" s="29"/>
      <c r="H1" s="29"/>
      <c r="I1" s="29"/>
      <c r="J1" s="29"/>
      <c r="K1" s="29"/>
      <c r="L1" s="29"/>
      <c r="M1" s="29"/>
      <c r="N1" s="29"/>
      <c r="O1" s="29"/>
      <c r="P1" s="30" t="s">
        <v>410</v>
      </c>
      <c r="Q1" s="30"/>
      <c r="R1" s="30"/>
      <c r="S1" s="30"/>
      <c r="T1" s="30"/>
      <c r="U1" s="30"/>
      <c r="V1" s="30"/>
      <c r="W1" s="30"/>
      <c r="X1" s="28" t="s">
        <v>411</v>
      </c>
      <c r="Y1" s="28"/>
      <c r="Z1" s="28"/>
      <c r="AA1" s="28"/>
      <c r="AB1" s="28"/>
    </row>
    <row r="2" ht="48" customHeight="1" spans="1:28" x14ac:dyDescent="0.25">
      <c r="A2" s="15" t="s">
        <v>296</v>
      </c>
      <c r="B2" s="15" t="s">
        <v>335</v>
      </c>
      <c r="C2" s="15" t="s">
        <v>119</v>
      </c>
      <c r="D2" s="15" t="s">
        <v>412</v>
      </c>
      <c r="E2" s="15" t="s">
        <v>413</v>
      </c>
      <c r="F2" s="15" t="s">
        <v>414</v>
      </c>
      <c r="G2" s="15" t="s">
        <v>415</v>
      </c>
      <c r="H2" s="15" t="s">
        <v>416</v>
      </c>
      <c r="I2" s="15" t="s">
        <v>417</v>
      </c>
      <c r="J2" s="15" t="s">
        <v>418</v>
      </c>
      <c r="K2" s="15" t="s">
        <v>419</v>
      </c>
      <c r="L2" s="15" t="s">
        <v>420</v>
      </c>
      <c r="M2" s="15" t="s">
        <v>421</v>
      </c>
      <c r="N2" s="15" t="s">
        <v>422</v>
      </c>
      <c r="O2" s="15" t="s">
        <v>423</v>
      </c>
      <c r="P2" s="15" t="s">
        <v>424</v>
      </c>
      <c r="Q2" s="15" t="s">
        <v>425</v>
      </c>
      <c r="R2" s="15" t="s">
        <v>426</v>
      </c>
      <c r="S2" s="15" t="s">
        <v>427</v>
      </c>
      <c r="T2" s="15" t="s">
        <v>428</v>
      </c>
      <c r="U2" s="15" t="s">
        <v>429</v>
      </c>
      <c r="V2" s="15" t="s">
        <v>430</v>
      </c>
      <c r="W2" s="15" t="s">
        <v>431</v>
      </c>
      <c r="X2" s="15" t="s">
        <v>432</v>
      </c>
      <c r="Y2" s="15" t="s">
        <v>433</v>
      </c>
      <c r="Z2" s="15" t="s">
        <v>434</v>
      </c>
      <c r="AA2" s="15" t="s">
        <v>435</v>
      </c>
      <c r="AB2" s="15" t="s">
        <v>436</v>
      </c>
    </row>
    <row r="3" ht="30" customHeight="1" spans="1:28" x14ac:dyDescent="0.25">
      <c r="A3" s="20">
        <f>IF(Register!A3="","",Register!A3)</f>
      </c>
      <c r="B3" s="20">
        <f>IF(Register!C3="","",Register!C3)</f>
      </c>
      <c r="C3" s="20">
        <f>IF('Eight questions'!O3="","",'Eight questions'!O3)</f>
      </c>
      <c r="D3" s="20">
        <f>IF('Eight questions'!F3="","",'Eight questions'!F3)</f>
      </c>
      <c r="E3" s="20">
        <f>IF(D3="","",IF(VALUE(LEFT(D3,1))&lt;=2,"1-2",IF(VALUE(LEFT(D3,1))=3,"3","4-5")))</f>
      </c>
      <c r="F3" s="20">
        <f>IF(OR(C3="",E3=""),"",INDEX(Lists!$B$32:$D$34,MATCH(C3,Lists!$A$32:$A$34,0),MATCH(E3,Lists!$B$31:$D$31,0)))</f>
      </c>
      <c r="G3" s="31">
        <f>IF(F3="","",IF('Eight questions'!P3="A person is affected",1,0))</f>
      </c>
      <c r="H3" s="31">
        <f>IF(F3="","",IF('Eight questions'!J3="Regulated",3,1))</f>
      </c>
      <c r="I3" s="31">
        <f>IF(F3="","",MATCH(F3,Lists!$A$37:$A$40,0))</f>
      </c>
      <c r="J3" s="31">
        <f>IF(I3="","",MIN(4,MAX(I3+G3,H3)))</f>
      </c>
      <c r="K3" s="20">
        <f>IF(J3="","",INDEX(Lists!$A$37:$A$40,J3))</f>
      </c>
      <c r="L3" s="20">
        <f>IF(J3="","",INDEX(Lists!$C$37:$C$40,J3))</f>
      </c>
      <c r="M3" s="16" t="s">
        <v>361</v>
      </c>
      <c r="N3" s="16" t="s">
        <v>437</v>
      </c>
      <c r="O3" s="16" t="s">
        <v>34</v>
      </c>
      <c r="P3" s="16" t="s">
        <v>80</v>
      </c>
      <c r="Q3" s="16" t="s">
        <v>80</v>
      </c>
      <c r="R3" s="16" t="s">
        <v>80</v>
      </c>
      <c r="S3" s="16" t="s">
        <v>80</v>
      </c>
      <c r="T3" s="16" t="s">
        <v>80</v>
      </c>
      <c r="U3" s="16" t="s">
        <v>80</v>
      </c>
      <c r="V3" s="16" t="s">
        <v>438</v>
      </c>
      <c r="W3" s="20">
        <f>IF(COUNTA(P3:U3)=0,"",IF(COUNTIF(P3:U3,"Not met")&gt;0,"Blocked",IF(COUNTIF(P3:U3,"In progress")&gt;0,"In progress",IF(COUNTA(P3:U3)&lt;6,"Incomplete","Passed"))))</f>
      </c>
      <c r="X3" s="16" t="s">
        <v>34</v>
      </c>
      <c r="Y3" s="16" t="s">
        <v>34</v>
      </c>
      <c r="Z3" s="16" t="s">
        <v>34</v>
      </c>
      <c r="AA3" s="16" t="s">
        <v>34</v>
      </c>
      <c r="AB3" s="16" t="s">
        <v>439</v>
      </c>
    </row>
    <row r="4" ht="30" customHeight="1" spans="1:28" x14ac:dyDescent="0.25">
      <c r="A4" s="20">
        <f>IF(Register!A4="","",Register!A4)</f>
      </c>
      <c r="B4" s="20">
        <f>IF(Register!C4="","",Register!C4)</f>
      </c>
      <c r="C4" s="20">
        <f>IF('Eight questions'!O4="","",'Eight questions'!O4)</f>
      </c>
      <c r="D4" s="20">
        <f>IF('Eight questions'!F4="","",'Eight questions'!F4)</f>
      </c>
      <c r="E4" s="20">
        <f>IF(D4="","",IF(VALUE(LEFT(D4,1))&lt;=2,"1-2",IF(VALUE(LEFT(D4,1))=3,"3","4-5")))</f>
      </c>
      <c r="F4" s="20">
        <f>IF(OR(C4="",E4=""),"",INDEX(Lists!$B$32:$D$34,MATCH(C4,Lists!$A$32:$A$34,0),MATCH(E4,Lists!$B$31:$D$31,0)))</f>
      </c>
      <c r="G4" s="31">
        <f>IF(F4="","",IF('Eight questions'!P4="A person is affected",1,0))</f>
      </c>
      <c r="H4" s="31">
        <f>IF(F4="","",IF('Eight questions'!J4="Regulated",3,1))</f>
      </c>
      <c r="I4" s="31">
        <f>IF(F4="","",MATCH(F4,Lists!$A$37:$A$40,0))</f>
      </c>
      <c r="J4" s="31">
        <f>IF(I4="","",MIN(4,MAX(I4+G4,H4)))</f>
      </c>
      <c r="K4" s="20">
        <f>IF(J4="","",INDEX(Lists!$A$37:$A$40,J4))</f>
      </c>
      <c r="L4" s="20">
        <f>IF(J4="","",INDEX(Lists!$C$37:$C$40,J4))</f>
      </c>
      <c r="M4" s="16" t="s">
        <v>440</v>
      </c>
      <c r="N4" s="16" t="s">
        <v>441</v>
      </c>
      <c r="O4" s="16" t="s">
        <v>56</v>
      </c>
      <c r="P4" s="16" t="s">
        <v>80</v>
      </c>
      <c r="Q4" s="16" t="s">
        <v>61</v>
      </c>
      <c r="R4" s="16" t="s">
        <v>61</v>
      </c>
      <c r="S4" s="16" t="s">
        <v>39</v>
      </c>
      <c r="T4" s="16" t="s">
        <v>39</v>
      </c>
      <c r="U4" s="16" t="s">
        <v>61</v>
      </c>
      <c r="V4" s="16" t="s">
        <v>442</v>
      </c>
      <c r="W4" s="20">
        <f>IF(COUNTA(P4:U4)=0,"",IF(COUNTIF(P4:U4,"Not met")&gt;0,"Blocked",IF(COUNTIF(P4:U4,"In progress")&gt;0,"In progress",IF(COUNTA(P4:U4)&lt;6,"Incomplete","Passed"))))</f>
      </c>
      <c r="X4" s="16" t="s">
        <v>56</v>
      </c>
      <c r="Y4" s="16" t="s">
        <v>34</v>
      </c>
      <c r="Z4" s="16" t="s">
        <v>56</v>
      </c>
      <c r="AA4" s="16" t="s">
        <v>34</v>
      </c>
      <c r="AB4" s="16" t="s">
        <v>443</v>
      </c>
    </row>
    <row r="5" ht="30" customHeight="1" spans="1:28" x14ac:dyDescent="0.25">
      <c r="A5" s="20">
        <f>IF(Register!A5="","",Register!A5)</f>
      </c>
      <c r="B5" s="20">
        <f>IF(Register!C5="","",Register!C5)</f>
      </c>
      <c r="C5" s="20">
        <f>IF('Eight questions'!O5="","",'Eight questions'!O5)</f>
      </c>
      <c r="D5" s="20">
        <f>IF('Eight questions'!F5="","",'Eight questions'!F5)</f>
      </c>
      <c r="E5" s="20">
        <f>IF(D5="","",IF(VALUE(LEFT(D5,1))&lt;=2,"1-2",IF(VALUE(LEFT(D5,1))=3,"3","4-5")))</f>
      </c>
      <c r="F5" s="20">
        <f>IF(OR(C5="",E5=""),"",INDEX(Lists!$B$32:$D$34,MATCH(C5,Lists!$A$32:$A$34,0),MATCH(E5,Lists!$B$31:$D$31,0)))</f>
      </c>
      <c r="G5" s="31">
        <f>IF(F5="","",IF('Eight questions'!P5="A person is affected",1,0))</f>
      </c>
      <c r="H5" s="31">
        <f>IF(F5="","",IF('Eight questions'!J5="Regulated",3,1))</f>
      </c>
      <c r="I5" s="31">
        <f>IF(F5="","",MATCH(F5,Lists!$A$37:$A$40,0))</f>
      </c>
      <c r="J5" s="31">
        <f>IF(I5="","",MIN(4,MAX(I5+G5,H5)))</f>
      </c>
      <c r="K5" s="20">
        <f>IF(J5="","",INDEX(Lists!$A$37:$A$40,J5))</f>
      </c>
      <c r="L5" s="20">
        <f>IF(J5="","",INDEX(Lists!$C$37:$C$40,J5))</f>
      </c>
      <c r="M5" s="16"/>
      <c r="N5" s="16"/>
      <c r="O5" s="16"/>
      <c r="P5" s="16"/>
      <c r="Q5" s="16"/>
      <c r="R5" s="16"/>
      <c r="S5" s="16"/>
      <c r="T5" s="16"/>
      <c r="U5" s="16"/>
      <c r="V5" s="16"/>
      <c r="W5" s="20">
        <f>IF(COUNTA(P5:U5)=0,"",IF(COUNTIF(P5:U5,"Not met")&gt;0,"Blocked",IF(COUNTIF(P5:U5,"In progress")&gt;0,"In progress",IF(COUNTA(P5:U5)&lt;6,"Incomplete","Passed"))))</f>
      </c>
      <c r="X5" s="16"/>
      <c r="Y5" s="16"/>
      <c r="Z5" s="16"/>
      <c r="AA5" s="16"/>
      <c r="AB5" s="16"/>
    </row>
    <row r="6" ht="30" customHeight="1" spans="1:28" x14ac:dyDescent="0.25">
      <c r="A6" s="20">
        <f>IF(Register!A6="","",Register!A6)</f>
      </c>
      <c r="B6" s="20">
        <f>IF(Register!C6="","",Register!C6)</f>
      </c>
      <c r="C6" s="20">
        <f>IF('Eight questions'!O6="","",'Eight questions'!O6)</f>
      </c>
      <c r="D6" s="20">
        <f>IF('Eight questions'!F6="","",'Eight questions'!F6)</f>
      </c>
      <c r="E6" s="20">
        <f>IF(D6="","",IF(VALUE(LEFT(D6,1))&lt;=2,"1-2",IF(VALUE(LEFT(D6,1))=3,"3","4-5")))</f>
      </c>
      <c r="F6" s="20">
        <f>IF(OR(C6="",E6=""),"",INDEX(Lists!$B$32:$D$34,MATCH(C6,Lists!$A$32:$A$34,0),MATCH(E6,Lists!$B$31:$D$31,0)))</f>
      </c>
      <c r="G6" s="31">
        <f>IF(F6="","",IF('Eight questions'!P6="A person is affected",1,0))</f>
      </c>
      <c r="H6" s="31">
        <f>IF(F6="","",IF('Eight questions'!J6="Regulated",3,1))</f>
      </c>
      <c r="I6" s="31">
        <f>IF(F6="","",MATCH(F6,Lists!$A$37:$A$40,0))</f>
      </c>
      <c r="J6" s="31">
        <f>IF(I6="","",MIN(4,MAX(I6+G6,H6)))</f>
      </c>
      <c r="K6" s="20">
        <f>IF(J6="","",INDEX(Lists!$A$37:$A$40,J6))</f>
      </c>
      <c r="L6" s="20">
        <f>IF(J6="","",INDEX(Lists!$C$37:$C$40,J6))</f>
      </c>
      <c r="M6" s="16"/>
      <c r="N6" s="16"/>
      <c r="O6" s="16"/>
      <c r="P6" s="16"/>
      <c r="Q6" s="16"/>
      <c r="R6" s="16"/>
      <c r="S6" s="16"/>
      <c r="T6" s="16"/>
      <c r="U6" s="16"/>
      <c r="V6" s="16"/>
      <c r="W6" s="20">
        <f>IF(COUNTA(P6:U6)=0,"",IF(COUNTIF(P6:U6,"Not met")&gt;0,"Blocked",IF(COUNTIF(P6:U6,"In progress")&gt;0,"In progress",IF(COUNTA(P6:U6)&lt;6,"Incomplete","Passed"))))</f>
      </c>
      <c r="X6" s="16"/>
      <c r="Y6" s="16"/>
      <c r="Z6" s="16"/>
      <c r="AA6" s="16"/>
      <c r="AB6" s="16"/>
    </row>
    <row r="7" ht="30" customHeight="1" spans="1:28" x14ac:dyDescent="0.25">
      <c r="A7" s="20">
        <f>IF(Register!A7="","",Register!A7)</f>
      </c>
      <c r="B7" s="20">
        <f>IF(Register!C7="","",Register!C7)</f>
      </c>
      <c r="C7" s="20">
        <f>IF('Eight questions'!O7="","",'Eight questions'!O7)</f>
      </c>
      <c r="D7" s="20">
        <f>IF('Eight questions'!F7="","",'Eight questions'!F7)</f>
      </c>
      <c r="E7" s="20">
        <f>IF(D7="","",IF(VALUE(LEFT(D7,1))&lt;=2,"1-2",IF(VALUE(LEFT(D7,1))=3,"3","4-5")))</f>
      </c>
      <c r="F7" s="20">
        <f>IF(OR(C7="",E7=""),"",INDEX(Lists!$B$32:$D$34,MATCH(C7,Lists!$A$32:$A$34,0),MATCH(E7,Lists!$B$31:$D$31,0)))</f>
      </c>
      <c r="G7" s="31">
        <f>IF(F7="","",IF('Eight questions'!P7="A person is affected",1,0))</f>
      </c>
      <c r="H7" s="31">
        <f>IF(F7="","",IF('Eight questions'!J7="Regulated",3,1))</f>
      </c>
      <c r="I7" s="31">
        <f>IF(F7="","",MATCH(F7,Lists!$A$37:$A$40,0))</f>
      </c>
      <c r="J7" s="31">
        <f>IF(I7="","",MIN(4,MAX(I7+G7,H7)))</f>
      </c>
      <c r="K7" s="20">
        <f>IF(J7="","",INDEX(Lists!$A$37:$A$40,J7))</f>
      </c>
      <c r="L7" s="20">
        <f>IF(J7="","",INDEX(Lists!$C$37:$C$40,J7))</f>
      </c>
      <c r="M7" s="16"/>
      <c r="N7" s="16"/>
      <c r="O7" s="16"/>
      <c r="P7" s="16"/>
      <c r="Q7" s="16"/>
      <c r="R7" s="16"/>
      <c r="S7" s="16"/>
      <c r="T7" s="16"/>
      <c r="U7" s="16"/>
      <c r="V7" s="16"/>
      <c r="W7" s="20">
        <f>IF(COUNTA(P7:U7)=0,"",IF(COUNTIF(P7:U7,"Not met")&gt;0,"Blocked",IF(COUNTIF(P7:U7,"In progress")&gt;0,"In progress",IF(COUNTA(P7:U7)&lt;6,"Incomplete","Passed"))))</f>
      </c>
      <c r="X7" s="16"/>
      <c r="Y7" s="16"/>
      <c r="Z7" s="16"/>
      <c r="AA7" s="16"/>
      <c r="AB7" s="16"/>
    </row>
    <row r="8" ht="30" customHeight="1" spans="1:28" x14ac:dyDescent="0.25">
      <c r="A8" s="20">
        <f>IF(Register!A8="","",Register!A8)</f>
      </c>
      <c r="B8" s="20">
        <f>IF(Register!C8="","",Register!C8)</f>
      </c>
      <c r="C8" s="20">
        <f>IF('Eight questions'!O8="","",'Eight questions'!O8)</f>
      </c>
      <c r="D8" s="20">
        <f>IF('Eight questions'!F8="","",'Eight questions'!F8)</f>
      </c>
      <c r="E8" s="20">
        <f>IF(D8="","",IF(VALUE(LEFT(D8,1))&lt;=2,"1-2",IF(VALUE(LEFT(D8,1))=3,"3","4-5")))</f>
      </c>
      <c r="F8" s="20">
        <f>IF(OR(C8="",E8=""),"",INDEX(Lists!$B$32:$D$34,MATCH(C8,Lists!$A$32:$A$34,0),MATCH(E8,Lists!$B$31:$D$31,0)))</f>
      </c>
      <c r="G8" s="31">
        <f>IF(F8="","",IF('Eight questions'!P8="A person is affected",1,0))</f>
      </c>
      <c r="H8" s="31">
        <f>IF(F8="","",IF('Eight questions'!J8="Regulated",3,1))</f>
      </c>
      <c r="I8" s="31">
        <f>IF(F8="","",MATCH(F8,Lists!$A$37:$A$40,0))</f>
      </c>
      <c r="J8" s="31">
        <f>IF(I8="","",MIN(4,MAX(I8+G8,H8)))</f>
      </c>
      <c r="K8" s="20">
        <f>IF(J8="","",INDEX(Lists!$A$37:$A$40,J8))</f>
      </c>
      <c r="L8" s="20">
        <f>IF(J8="","",INDEX(Lists!$C$37:$C$40,J8))</f>
      </c>
      <c r="M8" s="16"/>
      <c r="N8" s="16"/>
      <c r="O8" s="16"/>
      <c r="P8" s="16"/>
      <c r="Q8" s="16"/>
      <c r="R8" s="16"/>
      <c r="S8" s="16"/>
      <c r="T8" s="16"/>
      <c r="U8" s="16"/>
      <c r="V8" s="16"/>
      <c r="W8" s="20">
        <f>IF(COUNTA(P8:U8)=0,"",IF(COUNTIF(P8:U8,"Not met")&gt;0,"Blocked",IF(COUNTIF(P8:U8,"In progress")&gt;0,"In progress",IF(COUNTA(P8:U8)&lt;6,"Incomplete","Passed"))))</f>
      </c>
      <c r="X8" s="16"/>
      <c r="Y8" s="16"/>
      <c r="Z8" s="16"/>
      <c r="AA8" s="16"/>
      <c r="AB8" s="16"/>
    </row>
    <row r="9" ht="30" customHeight="1" spans="1:28" x14ac:dyDescent="0.25">
      <c r="A9" s="20">
        <f>IF(Register!A9="","",Register!A9)</f>
      </c>
      <c r="B9" s="20">
        <f>IF(Register!C9="","",Register!C9)</f>
      </c>
      <c r="C9" s="20">
        <f>IF('Eight questions'!O9="","",'Eight questions'!O9)</f>
      </c>
      <c r="D9" s="20">
        <f>IF('Eight questions'!F9="","",'Eight questions'!F9)</f>
      </c>
      <c r="E9" s="20">
        <f>IF(D9="","",IF(VALUE(LEFT(D9,1))&lt;=2,"1-2",IF(VALUE(LEFT(D9,1))=3,"3","4-5")))</f>
      </c>
      <c r="F9" s="20">
        <f>IF(OR(C9="",E9=""),"",INDEX(Lists!$B$32:$D$34,MATCH(C9,Lists!$A$32:$A$34,0),MATCH(E9,Lists!$B$31:$D$31,0)))</f>
      </c>
      <c r="G9" s="31">
        <f>IF(F9="","",IF('Eight questions'!P9="A person is affected",1,0))</f>
      </c>
      <c r="H9" s="31">
        <f>IF(F9="","",IF('Eight questions'!J9="Regulated",3,1))</f>
      </c>
      <c r="I9" s="31">
        <f>IF(F9="","",MATCH(F9,Lists!$A$37:$A$40,0))</f>
      </c>
      <c r="J9" s="31">
        <f>IF(I9="","",MIN(4,MAX(I9+G9,H9)))</f>
      </c>
      <c r="K9" s="20">
        <f>IF(J9="","",INDEX(Lists!$A$37:$A$40,J9))</f>
      </c>
      <c r="L9" s="20">
        <f>IF(J9="","",INDEX(Lists!$C$37:$C$40,J9))</f>
      </c>
      <c r="M9" s="16"/>
      <c r="N9" s="16"/>
      <c r="O9" s="16"/>
      <c r="P9" s="16"/>
      <c r="Q9" s="16"/>
      <c r="R9" s="16"/>
      <c r="S9" s="16"/>
      <c r="T9" s="16"/>
      <c r="U9" s="16"/>
      <c r="V9" s="16"/>
      <c r="W9" s="20">
        <f>IF(COUNTA(P9:U9)=0,"",IF(COUNTIF(P9:U9,"Not met")&gt;0,"Blocked",IF(COUNTIF(P9:U9,"In progress")&gt;0,"In progress",IF(COUNTA(P9:U9)&lt;6,"Incomplete","Passed"))))</f>
      </c>
      <c r="X9" s="16"/>
      <c r="Y9" s="16"/>
      <c r="Z9" s="16"/>
      <c r="AA9" s="16"/>
      <c r="AB9" s="16"/>
    </row>
    <row r="10" ht="30" customHeight="1" spans="1:28" x14ac:dyDescent="0.25">
      <c r="A10" s="20">
        <f>IF(Register!A10="","",Register!A10)</f>
      </c>
      <c r="B10" s="20">
        <f>IF(Register!C10="","",Register!C10)</f>
      </c>
      <c r="C10" s="20">
        <f>IF('Eight questions'!O10="","",'Eight questions'!O10)</f>
      </c>
      <c r="D10" s="20">
        <f>IF('Eight questions'!F10="","",'Eight questions'!F10)</f>
      </c>
      <c r="E10" s="20">
        <f>IF(D10="","",IF(VALUE(LEFT(D10,1))&lt;=2,"1-2",IF(VALUE(LEFT(D10,1))=3,"3","4-5")))</f>
      </c>
      <c r="F10" s="20">
        <f>IF(OR(C10="",E10=""),"",INDEX(Lists!$B$32:$D$34,MATCH(C10,Lists!$A$32:$A$34,0),MATCH(E10,Lists!$B$31:$D$31,0)))</f>
      </c>
      <c r="G10" s="31">
        <f>IF(F10="","",IF('Eight questions'!P10="A person is affected",1,0))</f>
      </c>
      <c r="H10" s="31">
        <f>IF(F10="","",IF('Eight questions'!J10="Regulated",3,1))</f>
      </c>
      <c r="I10" s="31">
        <f>IF(F10="","",MATCH(F10,Lists!$A$37:$A$40,0))</f>
      </c>
      <c r="J10" s="31">
        <f>IF(I10="","",MIN(4,MAX(I10+G10,H10)))</f>
      </c>
      <c r="K10" s="20">
        <f>IF(J10="","",INDEX(Lists!$A$37:$A$40,J10))</f>
      </c>
      <c r="L10" s="20">
        <f>IF(J10="","",INDEX(Lists!$C$37:$C$40,J10))</f>
      </c>
      <c r="M10" s="16"/>
      <c r="N10" s="16"/>
      <c r="O10" s="16"/>
      <c r="P10" s="16"/>
      <c r="Q10" s="16"/>
      <c r="R10" s="16"/>
      <c r="S10" s="16"/>
      <c r="T10" s="16"/>
      <c r="U10" s="16"/>
      <c r="V10" s="16"/>
      <c r="W10" s="20">
        <f>IF(COUNTA(P10:U10)=0,"",IF(COUNTIF(P10:U10,"Not met")&gt;0,"Blocked",IF(COUNTIF(P10:U10,"In progress")&gt;0,"In progress",IF(COUNTA(P10:U10)&lt;6,"Incomplete","Passed"))))</f>
      </c>
      <c r="X10" s="16"/>
      <c r="Y10" s="16"/>
      <c r="Z10" s="16"/>
      <c r="AA10" s="16"/>
      <c r="AB10" s="16"/>
    </row>
    <row r="11" ht="30" customHeight="1" spans="1:28" x14ac:dyDescent="0.25">
      <c r="A11" s="20">
        <f>IF(Register!A11="","",Register!A11)</f>
      </c>
      <c r="B11" s="20">
        <f>IF(Register!C11="","",Register!C11)</f>
      </c>
      <c r="C11" s="20">
        <f>IF('Eight questions'!O11="","",'Eight questions'!O11)</f>
      </c>
      <c r="D11" s="20">
        <f>IF('Eight questions'!F11="","",'Eight questions'!F11)</f>
      </c>
      <c r="E11" s="20">
        <f>IF(D11="","",IF(VALUE(LEFT(D11,1))&lt;=2,"1-2",IF(VALUE(LEFT(D11,1))=3,"3","4-5")))</f>
      </c>
      <c r="F11" s="20">
        <f>IF(OR(C11="",E11=""),"",INDEX(Lists!$B$32:$D$34,MATCH(C11,Lists!$A$32:$A$34,0),MATCH(E11,Lists!$B$31:$D$31,0)))</f>
      </c>
      <c r="G11" s="31">
        <f>IF(F11="","",IF('Eight questions'!P11="A person is affected",1,0))</f>
      </c>
      <c r="H11" s="31">
        <f>IF(F11="","",IF('Eight questions'!J11="Regulated",3,1))</f>
      </c>
      <c r="I11" s="31">
        <f>IF(F11="","",MATCH(F11,Lists!$A$37:$A$40,0))</f>
      </c>
      <c r="J11" s="31">
        <f>IF(I11="","",MIN(4,MAX(I11+G11,H11)))</f>
      </c>
      <c r="K11" s="20">
        <f>IF(J11="","",INDEX(Lists!$A$37:$A$40,J11))</f>
      </c>
      <c r="L11" s="20">
        <f>IF(J11="","",INDEX(Lists!$C$37:$C$40,J11))</f>
      </c>
      <c r="M11" s="16"/>
      <c r="N11" s="16"/>
      <c r="O11" s="16"/>
      <c r="P11" s="16"/>
      <c r="Q11" s="16"/>
      <c r="R11" s="16"/>
      <c r="S11" s="16"/>
      <c r="T11" s="16"/>
      <c r="U11" s="16"/>
      <c r="V11" s="16"/>
      <c r="W11" s="20">
        <f>IF(COUNTA(P11:U11)=0,"",IF(COUNTIF(P11:U11,"Not met")&gt;0,"Blocked",IF(COUNTIF(P11:U11,"In progress")&gt;0,"In progress",IF(COUNTA(P11:U11)&lt;6,"Incomplete","Passed"))))</f>
      </c>
      <c r="X11" s="16"/>
      <c r="Y11" s="16"/>
      <c r="Z11" s="16"/>
      <c r="AA11" s="16"/>
      <c r="AB11" s="16"/>
    </row>
    <row r="12" ht="30" customHeight="1" spans="1:28" x14ac:dyDescent="0.25">
      <c r="A12" s="20">
        <f>IF(Register!A12="","",Register!A12)</f>
      </c>
      <c r="B12" s="20">
        <f>IF(Register!C12="","",Register!C12)</f>
      </c>
      <c r="C12" s="20">
        <f>IF('Eight questions'!O12="","",'Eight questions'!O12)</f>
      </c>
      <c r="D12" s="20">
        <f>IF('Eight questions'!F12="","",'Eight questions'!F12)</f>
      </c>
      <c r="E12" s="20">
        <f>IF(D12="","",IF(VALUE(LEFT(D12,1))&lt;=2,"1-2",IF(VALUE(LEFT(D12,1))=3,"3","4-5")))</f>
      </c>
      <c r="F12" s="20">
        <f>IF(OR(C12="",E12=""),"",INDEX(Lists!$B$32:$D$34,MATCH(C12,Lists!$A$32:$A$34,0),MATCH(E12,Lists!$B$31:$D$31,0)))</f>
      </c>
      <c r="G12" s="31">
        <f>IF(F12="","",IF('Eight questions'!P12="A person is affected",1,0))</f>
      </c>
      <c r="H12" s="31">
        <f>IF(F12="","",IF('Eight questions'!J12="Regulated",3,1))</f>
      </c>
      <c r="I12" s="31">
        <f>IF(F12="","",MATCH(F12,Lists!$A$37:$A$40,0))</f>
      </c>
      <c r="J12" s="31">
        <f>IF(I12="","",MIN(4,MAX(I12+G12,H12)))</f>
      </c>
      <c r="K12" s="20">
        <f>IF(J12="","",INDEX(Lists!$A$37:$A$40,J12))</f>
      </c>
      <c r="L12" s="20">
        <f>IF(J12="","",INDEX(Lists!$C$37:$C$40,J12))</f>
      </c>
      <c r="M12" s="16"/>
      <c r="N12" s="16"/>
      <c r="O12" s="16"/>
      <c r="P12" s="16"/>
      <c r="Q12" s="16"/>
      <c r="R12" s="16"/>
      <c r="S12" s="16"/>
      <c r="T12" s="16"/>
      <c r="U12" s="16"/>
      <c r="V12" s="16"/>
      <c r="W12" s="20">
        <f>IF(COUNTA(P12:U12)=0,"",IF(COUNTIF(P12:U12,"Not met")&gt;0,"Blocked",IF(COUNTIF(P12:U12,"In progress")&gt;0,"In progress",IF(COUNTA(P12:U12)&lt;6,"Incomplete","Passed"))))</f>
      </c>
      <c r="X12" s="16"/>
      <c r="Y12" s="16"/>
      <c r="Z12" s="16"/>
      <c r="AA12" s="16"/>
      <c r="AB12" s="16"/>
    </row>
    <row r="13" ht="30" customHeight="1" spans="1:28" x14ac:dyDescent="0.25">
      <c r="A13" s="20">
        <f>IF(Register!A13="","",Register!A13)</f>
      </c>
      <c r="B13" s="20">
        <f>IF(Register!C13="","",Register!C13)</f>
      </c>
      <c r="C13" s="20">
        <f>IF('Eight questions'!O13="","",'Eight questions'!O13)</f>
      </c>
      <c r="D13" s="20">
        <f>IF('Eight questions'!F13="","",'Eight questions'!F13)</f>
      </c>
      <c r="E13" s="20">
        <f>IF(D13="","",IF(VALUE(LEFT(D13,1))&lt;=2,"1-2",IF(VALUE(LEFT(D13,1))=3,"3","4-5")))</f>
      </c>
      <c r="F13" s="20">
        <f>IF(OR(C13="",E13=""),"",INDEX(Lists!$B$32:$D$34,MATCH(C13,Lists!$A$32:$A$34,0),MATCH(E13,Lists!$B$31:$D$31,0)))</f>
      </c>
      <c r="G13" s="31">
        <f>IF(F13="","",IF('Eight questions'!P13="A person is affected",1,0))</f>
      </c>
      <c r="H13" s="31">
        <f>IF(F13="","",IF('Eight questions'!J13="Regulated",3,1))</f>
      </c>
      <c r="I13" s="31">
        <f>IF(F13="","",MATCH(F13,Lists!$A$37:$A$40,0))</f>
      </c>
      <c r="J13" s="31">
        <f>IF(I13="","",MIN(4,MAX(I13+G13,H13)))</f>
      </c>
      <c r="K13" s="20">
        <f>IF(J13="","",INDEX(Lists!$A$37:$A$40,J13))</f>
      </c>
      <c r="L13" s="20">
        <f>IF(J13="","",INDEX(Lists!$C$37:$C$40,J13))</f>
      </c>
      <c r="M13" s="16"/>
      <c r="N13" s="16"/>
      <c r="O13" s="16"/>
      <c r="P13" s="16"/>
      <c r="Q13" s="16"/>
      <c r="R13" s="16"/>
      <c r="S13" s="16"/>
      <c r="T13" s="16"/>
      <c r="U13" s="16"/>
      <c r="V13" s="16"/>
      <c r="W13" s="20">
        <f>IF(COUNTA(P13:U13)=0,"",IF(COUNTIF(P13:U13,"Not met")&gt;0,"Blocked",IF(COUNTIF(P13:U13,"In progress")&gt;0,"In progress",IF(COUNTA(P13:U13)&lt;6,"Incomplete","Passed"))))</f>
      </c>
      <c r="X13" s="16"/>
      <c r="Y13" s="16"/>
      <c r="Z13" s="16"/>
      <c r="AA13" s="16"/>
      <c r="AB13" s="16"/>
    </row>
    <row r="14" ht="30" customHeight="1" spans="1:28" x14ac:dyDescent="0.25">
      <c r="A14" s="20">
        <f>IF(Register!A14="","",Register!A14)</f>
      </c>
      <c r="B14" s="20">
        <f>IF(Register!C14="","",Register!C14)</f>
      </c>
      <c r="C14" s="20">
        <f>IF('Eight questions'!O14="","",'Eight questions'!O14)</f>
      </c>
      <c r="D14" s="20">
        <f>IF('Eight questions'!F14="","",'Eight questions'!F14)</f>
      </c>
      <c r="E14" s="20">
        <f>IF(D14="","",IF(VALUE(LEFT(D14,1))&lt;=2,"1-2",IF(VALUE(LEFT(D14,1))=3,"3","4-5")))</f>
      </c>
      <c r="F14" s="20">
        <f>IF(OR(C14="",E14=""),"",INDEX(Lists!$B$32:$D$34,MATCH(C14,Lists!$A$32:$A$34,0),MATCH(E14,Lists!$B$31:$D$31,0)))</f>
      </c>
      <c r="G14" s="31">
        <f>IF(F14="","",IF('Eight questions'!P14="A person is affected",1,0))</f>
      </c>
      <c r="H14" s="31">
        <f>IF(F14="","",IF('Eight questions'!J14="Regulated",3,1))</f>
      </c>
      <c r="I14" s="31">
        <f>IF(F14="","",MATCH(F14,Lists!$A$37:$A$40,0))</f>
      </c>
      <c r="J14" s="31">
        <f>IF(I14="","",MIN(4,MAX(I14+G14,H14)))</f>
      </c>
      <c r="K14" s="20">
        <f>IF(J14="","",INDEX(Lists!$A$37:$A$40,J14))</f>
      </c>
      <c r="L14" s="20">
        <f>IF(J14="","",INDEX(Lists!$C$37:$C$40,J14))</f>
      </c>
      <c r="M14" s="16"/>
      <c r="N14" s="16"/>
      <c r="O14" s="16"/>
      <c r="P14" s="16"/>
      <c r="Q14" s="16"/>
      <c r="R14" s="16"/>
      <c r="S14" s="16"/>
      <c r="T14" s="16"/>
      <c r="U14" s="16"/>
      <c r="V14" s="16"/>
      <c r="W14" s="20">
        <f>IF(COUNTA(P14:U14)=0,"",IF(COUNTIF(P14:U14,"Not met")&gt;0,"Blocked",IF(COUNTIF(P14:U14,"In progress")&gt;0,"In progress",IF(COUNTA(P14:U14)&lt;6,"Incomplete","Passed"))))</f>
      </c>
      <c r="X14" s="16"/>
      <c r="Y14" s="16"/>
      <c r="Z14" s="16"/>
      <c r="AA14" s="16"/>
      <c r="AB14" s="16"/>
    </row>
    <row r="15" ht="30" customHeight="1" spans="1:28" x14ac:dyDescent="0.25">
      <c r="A15" s="20">
        <f>IF(Register!A15="","",Register!A15)</f>
      </c>
      <c r="B15" s="20">
        <f>IF(Register!C15="","",Register!C15)</f>
      </c>
      <c r="C15" s="20">
        <f>IF('Eight questions'!O15="","",'Eight questions'!O15)</f>
      </c>
      <c r="D15" s="20">
        <f>IF('Eight questions'!F15="","",'Eight questions'!F15)</f>
      </c>
      <c r="E15" s="20">
        <f>IF(D15="","",IF(VALUE(LEFT(D15,1))&lt;=2,"1-2",IF(VALUE(LEFT(D15,1))=3,"3","4-5")))</f>
      </c>
      <c r="F15" s="20">
        <f>IF(OR(C15="",E15=""),"",INDEX(Lists!$B$32:$D$34,MATCH(C15,Lists!$A$32:$A$34,0),MATCH(E15,Lists!$B$31:$D$31,0)))</f>
      </c>
      <c r="G15" s="31">
        <f>IF(F15="","",IF('Eight questions'!P15="A person is affected",1,0))</f>
      </c>
      <c r="H15" s="31">
        <f>IF(F15="","",IF('Eight questions'!J15="Regulated",3,1))</f>
      </c>
      <c r="I15" s="31">
        <f>IF(F15="","",MATCH(F15,Lists!$A$37:$A$40,0))</f>
      </c>
      <c r="J15" s="31">
        <f>IF(I15="","",MIN(4,MAX(I15+G15,H15)))</f>
      </c>
      <c r="K15" s="20">
        <f>IF(J15="","",INDEX(Lists!$A$37:$A$40,J15))</f>
      </c>
      <c r="L15" s="20">
        <f>IF(J15="","",INDEX(Lists!$C$37:$C$40,J15))</f>
      </c>
      <c r="M15" s="16"/>
      <c r="N15" s="16"/>
      <c r="O15" s="16"/>
      <c r="P15" s="16"/>
      <c r="Q15" s="16"/>
      <c r="R15" s="16"/>
      <c r="S15" s="16"/>
      <c r="T15" s="16"/>
      <c r="U15" s="16"/>
      <c r="V15" s="16"/>
      <c r="W15" s="20">
        <f>IF(COUNTA(P15:U15)=0,"",IF(COUNTIF(P15:U15,"Not met")&gt;0,"Blocked",IF(COUNTIF(P15:U15,"In progress")&gt;0,"In progress",IF(COUNTA(P15:U15)&lt;6,"Incomplete","Passed"))))</f>
      </c>
      <c r="X15" s="16"/>
      <c r="Y15" s="16"/>
      <c r="Z15" s="16"/>
      <c r="AA15" s="16"/>
      <c r="AB15" s="16"/>
    </row>
    <row r="16" ht="30" customHeight="1" spans="1:28" x14ac:dyDescent="0.25">
      <c r="A16" s="20">
        <f>IF(Register!A16="","",Register!A16)</f>
      </c>
      <c r="B16" s="20">
        <f>IF(Register!C16="","",Register!C16)</f>
      </c>
      <c r="C16" s="20">
        <f>IF('Eight questions'!O16="","",'Eight questions'!O16)</f>
      </c>
      <c r="D16" s="20">
        <f>IF('Eight questions'!F16="","",'Eight questions'!F16)</f>
      </c>
      <c r="E16" s="20">
        <f>IF(D16="","",IF(VALUE(LEFT(D16,1))&lt;=2,"1-2",IF(VALUE(LEFT(D16,1))=3,"3","4-5")))</f>
      </c>
      <c r="F16" s="20">
        <f>IF(OR(C16="",E16=""),"",INDEX(Lists!$B$32:$D$34,MATCH(C16,Lists!$A$32:$A$34,0),MATCH(E16,Lists!$B$31:$D$31,0)))</f>
      </c>
      <c r="G16" s="31">
        <f>IF(F16="","",IF('Eight questions'!P16="A person is affected",1,0))</f>
      </c>
      <c r="H16" s="31">
        <f>IF(F16="","",IF('Eight questions'!J16="Regulated",3,1))</f>
      </c>
      <c r="I16" s="31">
        <f>IF(F16="","",MATCH(F16,Lists!$A$37:$A$40,0))</f>
      </c>
      <c r="J16" s="31">
        <f>IF(I16="","",MIN(4,MAX(I16+G16,H16)))</f>
      </c>
      <c r="K16" s="20">
        <f>IF(J16="","",INDEX(Lists!$A$37:$A$40,J16))</f>
      </c>
      <c r="L16" s="20">
        <f>IF(J16="","",INDEX(Lists!$C$37:$C$40,J16))</f>
      </c>
      <c r="M16" s="16"/>
      <c r="N16" s="16"/>
      <c r="O16" s="16"/>
      <c r="P16" s="16"/>
      <c r="Q16" s="16"/>
      <c r="R16" s="16"/>
      <c r="S16" s="16"/>
      <c r="T16" s="16"/>
      <c r="U16" s="16"/>
      <c r="V16" s="16"/>
      <c r="W16" s="20">
        <f>IF(COUNTA(P16:U16)=0,"",IF(COUNTIF(P16:U16,"Not met")&gt;0,"Blocked",IF(COUNTIF(P16:U16,"In progress")&gt;0,"In progress",IF(COUNTA(P16:U16)&lt;6,"Incomplete","Passed"))))</f>
      </c>
      <c r="X16" s="16"/>
      <c r="Y16" s="16"/>
      <c r="Z16" s="16"/>
      <c r="AA16" s="16"/>
      <c r="AB16" s="16"/>
    </row>
    <row r="17" ht="30" customHeight="1" spans="1:28" x14ac:dyDescent="0.25">
      <c r="A17" s="20">
        <f>IF(Register!A17="","",Register!A17)</f>
      </c>
      <c r="B17" s="20">
        <f>IF(Register!C17="","",Register!C17)</f>
      </c>
      <c r="C17" s="20">
        <f>IF('Eight questions'!O17="","",'Eight questions'!O17)</f>
      </c>
      <c r="D17" s="20">
        <f>IF('Eight questions'!F17="","",'Eight questions'!F17)</f>
      </c>
      <c r="E17" s="20">
        <f>IF(D17="","",IF(VALUE(LEFT(D17,1))&lt;=2,"1-2",IF(VALUE(LEFT(D17,1))=3,"3","4-5")))</f>
      </c>
      <c r="F17" s="20">
        <f>IF(OR(C17="",E17=""),"",INDEX(Lists!$B$32:$D$34,MATCH(C17,Lists!$A$32:$A$34,0),MATCH(E17,Lists!$B$31:$D$31,0)))</f>
      </c>
      <c r="G17" s="31">
        <f>IF(F17="","",IF('Eight questions'!P17="A person is affected",1,0))</f>
      </c>
      <c r="H17" s="31">
        <f>IF(F17="","",IF('Eight questions'!J17="Regulated",3,1))</f>
      </c>
      <c r="I17" s="31">
        <f>IF(F17="","",MATCH(F17,Lists!$A$37:$A$40,0))</f>
      </c>
      <c r="J17" s="31">
        <f>IF(I17="","",MIN(4,MAX(I17+G17,H17)))</f>
      </c>
      <c r="K17" s="20">
        <f>IF(J17="","",INDEX(Lists!$A$37:$A$40,J17))</f>
      </c>
      <c r="L17" s="20">
        <f>IF(J17="","",INDEX(Lists!$C$37:$C$40,J17))</f>
      </c>
      <c r="M17" s="16"/>
      <c r="N17" s="16"/>
      <c r="O17" s="16"/>
      <c r="P17" s="16"/>
      <c r="Q17" s="16"/>
      <c r="R17" s="16"/>
      <c r="S17" s="16"/>
      <c r="T17" s="16"/>
      <c r="U17" s="16"/>
      <c r="V17" s="16"/>
      <c r="W17" s="20">
        <f>IF(COUNTA(P17:U17)=0,"",IF(COUNTIF(P17:U17,"Not met")&gt;0,"Blocked",IF(COUNTIF(P17:U17,"In progress")&gt;0,"In progress",IF(COUNTA(P17:U17)&lt;6,"Incomplete","Passed"))))</f>
      </c>
      <c r="X17" s="16"/>
      <c r="Y17" s="16"/>
      <c r="Z17" s="16"/>
      <c r="AA17" s="16"/>
      <c r="AB17" s="16"/>
    </row>
    <row r="18" ht="30" customHeight="1" spans="1:28" x14ac:dyDescent="0.25">
      <c r="A18" s="20">
        <f>IF(Register!A18="","",Register!A18)</f>
      </c>
      <c r="B18" s="20">
        <f>IF(Register!C18="","",Register!C18)</f>
      </c>
      <c r="C18" s="20">
        <f>IF('Eight questions'!O18="","",'Eight questions'!O18)</f>
      </c>
      <c r="D18" s="20">
        <f>IF('Eight questions'!F18="","",'Eight questions'!F18)</f>
      </c>
      <c r="E18" s="20">
        <f>IF(D18="","",IF(VALUE(LEFT(D18,1))&lt;=2,"1-2",IF(VALUE(LEFT(D18,1))=3,"3","4-5")))</f>
      </c>
      <c r="F18" s="20">
        <f>IF(OR(C18="",E18=""),"",INDEX(Lists!$B$32:$D$34,MATCH(C18,Lists!$A$32:$A$34,0),MATCH(E18,Lists!$B$31:$D$31,0)))</f>
      </c>
      <c r="G18" s="31">
        <f>IF(F18="","",IF('Eight questions'!P18="A person is affected",1,0))</f>
      </c>
      <c r="H18" s="31">
        <f>IF(F18="","",IF('Eight questions'!J18="Regulated",3,1))</f>
      </c>
      <c r="I18" s="31">
        <f>IF(F18="","",MATCH(F18,Lists!$A$37:$A$40,0))</f>
      </c>
      <c r="J18" s="31">
        <f>IF(I18="","",MIN(4,MAX(I18+G18,H18)))</f>
      </c>
      <c r="K18" s="20">
        <f>IF(J18="","",INDEX(Lists!$A$37:$A$40,J18))</f>
      </c>
      <c r="L18" s="20">
        <f>IF(J18="","",INDEX(Lists!$C$37:$C$40,J18))</f>
      </c>
      <c r="M18" s="16"/>
      <c r="N18" s="16"/>
      <c r="O18" s="16"/>
      <c r="P18" s="16"/>
      <c r="Q18" s="16"/>
      <c r="R18" s="16"/>
      <c r="S18" s="16"/>
      <c r="T18" s="16"/>
      <c r="U18" s="16"/>
      <c r="V18" s="16"/>
      <c r="W18" s="20">
        <f>IF(COUNTA(P18:U18)=0,"",IF(COUNTIF(P18:U18,"Not met")&gt;0,"Blocked",IF(COUNTIF(P18:U18,"In progress")&gt;0,"In progress",IF(COUNTA(P18:U18)&lt;6,"Incomplete","Passed"))))</f>
      </c>
      <c r="X18" s="16"/>
      <c r="Y18" s="16"/>
      <c r="Z18" s="16"/>
      <c r="AA18" s="16"/>
      <c r="AB18" s="16"/>
    </row>
    <row r="19" ht="30" customHeight="1" spans="1:28" x14ac:dyDescent="0.25">
      <c r="A19" s="20">
        <f>IF(Register!A19="","",Register!A19)</f>
      </c>
      <c r="B19" s="20">
        <f>IF(Register!C19="","",Register!C19)</f>
      </c>
      <c r="C19" s="20">
        <f>IF('Eight questions'!O19="","",'Eight questions'!O19)</f>
      </c>
      <c r="D19" s="20">
        <f>IF('Eight questions'!F19="","",'Eight questions'!F19)</f>
      </c>
      <c r="E19" s="20">
        <f>IF(D19="","",IF(VALUE(LEFT(D19,1))&lt;=2,"1-2",IF(VALUE(LEFT(D19,1))=3,"3","4-5")))</f>
      </c>
      <c r="F19" s="20">
        <f>IF(OR(C19="",E19=""),"",INDEX(Lists!$B$32:$D$34,MATCH(C19,Lists!$A$32:$A$34,0),MATCH(E19,Lists!$B$31:$D$31,0)))</f>
      </c>
      <c r="G19" s="31">
        <f>IF(F19="","",IF('Eight questions'!P19="A person is affected",1,0))</f>
      </c>
      <c r="H19" s="31">
        <f>IF(F19="","",IF('Eight questions'!J19="Regulated",3,1))</f>
      </c>
      <c r="I19" s="31">
        <f>IF(F19="","",MATCH(F19,Lists!$A$37:$A$40,0))</f>
      </c>
      <c r="J19" s="31">
        <f>IF(I19="","",MIN(4,MAX(I19+G19,H19)))</f>
      </c>
      <c r="K19" s="20">
        <f>IF(J19="","",INDEX(Lists!$A$37:$A$40,J19))</f>
      </c>
      <c r="L19" s="20">
        <f>IF(J19="","",INDEX(Lists!$C$37:$C$40,J19))</f>
      </c>
      <c r="M19" s="16"/>
      <c r="N19" s="16"/>
      <c r="O19" s="16"/>
      <c r="P19" s="16"/>
      <c r="Q19" s="16"/>
      <c r="R19" s="16"/>
      <c r="S19" s="16"/>
      <c r="T19" s="16"/>
      <c r="U19" s="16"/>
      <c r="V19" s="16"/>
      <c r="W19" s="20">
        <f>IF(COUNTA(P19:U19)=0,"",IF(COUNTIF(P19:U19,"Not met")&gt;0,"Blocked",IF(COUNTIF(P19:U19,"In progress")&gt;0,"In progress",IF(COUNTA(P19:U19)&lt;6,"Incomplete","Passed"))))</f>
      </c>
      <c r="X19" s="16"/>
      <c r="Y19" s="16"/>
      <c r="Z19" s="16"/>
      <c r="AA19" s="16"/>
      <c r="AB19" s="16"/>
    </row>
    <row r="20" ht="30" customHeight="1" spans="1:28" x14ac:dyDescent="0.25">
      <c r="A20" s="20">
        <f>IF(Register!A20="","",Register!A20)</f>
      </c>
      <c r="B20" s="20">
        <f>IF(Register!C20="","",Register!C20)</f>
      </c>
      <c r="C20" s="20">
        <f>IF('Eight questions'!O20="","",'Eight questions'!O20)</f>
      </c>
      <c r="D20" s="20">
        <f>IF('Eight questions'!F20="","",'Eight questions'!F20)</f>
      </c>
      <c r="E20" s="20">
        <f>IF(D20="","",IF(VALUE(LEFT(D20,1))&lt;=2,"1-2",IF(VALUE(LEFT(D20,1))=3,"3","4-5")))</f>
      </c>
      <c r="F20" s="20">
        <f>IF(OR(C20="",E20=""),"",INDEX(Lists!$B$32:$D$34,MATCH(C20,Lists!$A$32:$A$34,0),MATCH(E20,Lists!$B$31:$D$31,0)))</f>
      </c>
      <c r="G20" s="31">
        <f>IF(F20="","",IF('Eight questions'!P20="A person is affected",1,0))</f>
      </c>
      <c r="H20" s="31">
        <f>IF(F20="","",IF('Eight questions'!J20="Regulated",3,1))</f>
      </c>
      <c r="I20" s="31">
        <f>IF(F20="","",MATCH(F20,Lists!$A$37:$A$40,0))</f>
      </c>
      <c r="J20" s="31">
        <f>IF(I20="","",MIN(4,MAX(I20+G20,H20)))</f>
      </c>
      <c r="K20" s="20">
        <f>IF(J20="","",INDEX(Lists!$A$37:$A$40,J20))</f>
      </c>
      <c r="L20" s="20">
        <f>IF(J20="","",INDEX(Lists!$C$37:$C$40,J20))</f>
      </c>
      <c r="M20" s="16"/>
      <c r="N20" s="16"/>
      <c r="O20" s="16"/>
      <c r="P20" s="16"/>
      <c r="Q20" s="16"/>
      <c r="R20" s="16"/>
      <c r="S20" s="16"/>
      <c r="T20" s="16"/>
      <c r="U20" s="16"/>
      <c r="V20" s="16"/>
      <c r="W20" s="20">
        <f>IF(COUNTA(P20:U20)=0,"",IF(COUNTIF(P20:U20,"Not met")&gt;0,"Blocked",IF(COUNTIF(P20:U20,"In progress")&gt;0,"In progress",IF(COUNTA(P20:U20)&lt;6,"Incomplete","Passed"))))</f>
      </c>
      <c r="X20" s="16"/>
      <c r="Y20" s="16"/>
      <c r="Z20" s="16"/>
      <c r="AA20" s="16"/>
      <c r="AB20" s="16"/>
    </row>
    <row r="21" ht="30" customHeight="1" spans="1:28" x14ac:dyDescent="0.25">
      <c r="A21" s="20">
        <f>IF(Register!A21="","",Register!A21)</f>
      </c>
      <c r="B21" s="20">
        <f>IF(Register!C21="","",Register!C21)</f>
      </c>
      <c r="C21" s="20">
        <f>IF('Eight questions'!O21="","",'Eight questions'!O21)</f>
      </c>
      <c r="D21" s="20">
        <f>IF('Eight questions'!F21="","",'Eight questions'!F21)</f>
      </c>
      <c r="E21" s="20">
        <f>IF(D21="","",IF(VALUE(LEFT(D21,1))&lt;=2,"1-2",IF(VALUE(LEFT(D21,1))=3,"3","4-5")))</f>
      </c>
      <c r="F21" s="20">
        <f>IF(OR(C21="",E21=""),"",INDEX(Lists!$B$32:$D$34,MATCH(C21,Lists!$A$32:$A$34,0),MATCH(E21,Lists!$B$31:$D$31,0)))</f>
      </c>
      <c r="G21" s="31">
        <f>IF(F21="","",IF('Eight questions'!P21="A person is affected",1,0))</f>
      </c>
      <c r="H21" s="31">
        <f>IF(F21="","",IF('Eight questions'!J21="Regulated",3,1))</f>
      </c>
      <c r="I21" s="31">
        <f>IF(F21="","",MATCH(F21,Lists!$A$37:$A$40,0))</f>
      </c>
      <c r="J21" s="31">
        <f>IF(I21="","",MIN(4,MAX(I21+G21,H21)))</f>
      </c>
      <c r="K21" s="20">
        <f>IF(J21="","",INDEX(Lists!$A$37:$A$40,J21))</f>
      </c>
      <c r="L21" s="20">
        <f>IF(J21="","",INDEX(Lists!$C$37:$C$40,J21))</f>
      </c>
      <c r="M21" s="16"/>
      <c r="N21" s="16"/>
      <c r="O21" s="16"/>
      <c r="P21" s="16"/>
      <c r="Q21" s="16"/>
      <c r="R21" s="16"/>
      <c r="S21" s="16"/>
      <c r="T21" s="16"/>
      <c r="U21" s="16"/>
      <c r="V21" s="16"/>
      <c r="W21" s="20">
        <f>IF(COUNTA(P21:U21)=0,"",IF(COUNTIF(P21:U21,"Not met")&gt;0,"Blocked",IF(COUNTIF(P21:U21,"In progress")&gt;0,"In progress",IF(COUNTA(P21:U21)&lt;6,"Incomplete","Passed"))))</f>
      </c>
      <c r="X21" s="16"/>
      <c r="Y21" s="16"/>
      <c r="Z21" s="16"/>
      <c r="AA21" s="16"/>
      <c r="AB21" s="16"/>
    </row>
    <row r="22" ht="30" customHeight="1" spans="1:28" x14ac:dyDescent="0.25">
      <c r="A22" s="20">
        <f>IF(Register!A22="","",Register!A22)</f>
      </c>
      <c r="B22" s="20">
        <f>IF(Register!C22="","",Register!C22)</f>
      </c>
      <c r="C22" s="20">
        <f>IF('Eight questions'!O22="","",'Eight questions'!O22)</f>
      </c>
      <c r="D22" s="20">
        <f>IF('Eight questions'!F22="","",'Eight questions'!F22)</f>
      </c>
      <c r="E22" s="20">
        <f>IF(D22="","",IF(VALUE(LEFT(D22,1))&lt;=2,"1-2",IF(VALUE(LEFT(D22,1))=3,"3","4-5")))</f>
      </c>
      <c r="F22" s="20">
        <f>IF(OR(C22="",E22=""),"",INDEX(Lists!$B$32:$D$34,MATCH(C22,Lists!$A$32:$A$34,0),MATCH(E22,Lists!$B$31:$D$31,0)))</f>
      </c>
      <c r="G22" s="31">
        <f>IF(F22="","",IF('Eight questions'!P22="A person is affected",1,0))</f>
      </c>
      <c r="H22" s="31">
        <f>IF(F22="","",IF('Eight questions'!J22="Regulated",3,1))</f>
      </c>
      <c r="I22" s="31">
        <f>IF(F22="","",MATCH(F22,Lists!$A$37:$A$40,0))</f>
      </c>
      <c r="J22" s="31">
        <f>IF(I22="","",MIN(4,MAX(I22+G22,H22)))</f>
      </c>
      <c r="K22" s="20">
        <f>IF(J22="","",INDEX(Lists!$A$37:$A$40,J22))</f>
      </c>
      <c r="L22" s="20">
        <f>IF(J22="","",INDEX(Lists!$C$37:$C$40,J22))</f>
      </c>
      <c r="M22" s="16"/>
      <c r="N22" s="16"/>
      <c r="O22" s="16"/>
      <c r="P22" s="16"/>
      <c r="Q22" s="16"/>
      <c r="R22" s="16"/>
      <c r="S22" s="16"/>
      <c r="T22" s="16"/>
      <c r="U22" s="16"/>
      <c r="V22" s="16"/>
      <c r="W22" s="20">
        <f>IF(COUNTA(P22:U22)=0,"",IF(COUNTIF(P22:U22,"Not met")&gt;0,"Blocked",IF(COUNTIF(P22:U22,"In progress")&gt;0,"In progress",IF(COUNTA(P22:U22)&lt;6,"Incomplete","Passed"))))</f>
      </c>
      <c r="X22" s="16"/>
      <c r="Y22" s="16"/>
      <c r="Z22" s="16"/>
      <c r="AA22" s="16"/>
      <c r="AB22" s="16"/>
    </row>
    <row r="23" ht="30" customHeight="1" spans="1:28" x14ac:dyDescent="0.25">
      <c r="A23" s="20">
        <f>IF(Register!A23="","",Register!A23)</f>
      </c>
      <c r="B23" s="20">
        <f>IF(Register!C23="","",Register!C23)</f>
      </c>
      <c r="C23" s="20">
        <f>IF('Eight questions'!O23="","",'Eight questions'!O23)</f>
      </c>
      <c r="D23" s="20">
        <f>IF('Eight questions'!F23="","",'Eight questions'!F23)</f>
      </c>
      <c r="E23" s="20">
        <f>IF(D23="","",IF(VALUE(LEFT(D23,1))&lt;=2,"1-2",IF(VALUE(LEFT(D23,1))=3,"3","4-5")))</f>
      </c>
      <c r="F23" s="20">
        <f>IF(OR(C23="",E23=""),"",INDEX(Lists!$B$32:$D$34,MATCH(C23,Lists!$A$32:$A$34,0),MATCH(E23,Lists!$B$31:$D$31,0)))</f>
      </c>
      <c r="G23" s="31">
        <f>IF(F23="","",IF('Eight questions'!P23="A person is affected",1,0))</f>
      </c>
      <c r="H23" s="31">
        <f>IF(F23="","",IF('Eight questions'!J23="Regulated",3,1))</f>
      </c>
      <c r="I23" s="31">
        <f>IF(F23="","",MATCH(F23,Lists!$A$37:$A$40,0))</f>
      </c>
      <c r="J23" s="31">
        <f>IF(I23="","",MIN(4,MAX(I23+G23,H23)))</f>
      </c>
      <c r="K23" s="20">
        <f>IF(J23="","",INDEX(Lists!$A$37:$A$40,J23))</f>
      </c>
      <c r="L23" s="20">
        <f>IF(J23="","",INDEX(Lists!$C$37:$C$40,J23))</f>
      </c>
      <c r="M23" s="16"/>
      <c r="N23" s="16"/>
      <c r="O23" s="16"/>
      <c r="P23" s="16"/>
      <c r="Q23" s="16"/>
      <c r="R23" s="16"/>
      <c r="S23" s="16"/>
      <c r="T23" s="16"/>
      <c r="U23" s="16"/>
      <c r="V23" s="16"/>
      <c r="W23" s="20">
        <f>IF(COUNTA(P23:U23)=0,"",IF(COUNTIF(P23:U23,"Not met")&gt;0,"Blocked",IF(COUNTIF(P23:U23,"In progress")&gt;0,"In progress",IF(COUNTA(P23:U23)&lt;6,"Incomplete","Passed"))))</f>
      </c>
      <c r="X23" s="16"/>
      <c r="Y23" s="16"/>
      <c r="Z23" s="16"/>
      <c r="AA23" s="16"/>
      <c r="AB23" s="16"/>
    </row>
    <row r="24" ht="30" customHeight="1" spans="1:28" x14ac:dyDescent="0.25">
      <c r="A24" s="20">
        <f>IF(Register!A24="","",Register!A24)</f>
      </c>
      <c r="B24" s="20">
        <f>IF(Register!C24="","",Register!C24)</f>
      </c>
      <c r="C24" s="20">
        <f>IF('Eight questions'!O24="","",'Eight questions'!O24)</f>
      </c>
      <c r="D24" s="20">
        <f>IF('Eight questions'!F24="","",'Eight questions'!F24)</f>
      </c>
      <c r="E24" s="20">
        <f>IF(D24="","",IF(VALUE(LEFT(D24,1))&lt;=2,"1-2",IF(VALUE(LEFT(D24,1))=3,"3","4-5")))</f>
      </c>
      <c r="F24" s="20">
        <f>IF(OR(C24="",E24=""),"",INDEX(Lists!$B$32:$D$34,MATCH(C24,Lists!$A$32:$A$34,0),MATCH(E24,Lists!$B$31:$D$31,0)))</f>
      </c>
      <c r="G24" s="31">
        <f>IF(F24="","",IF('Eight questions'!P24="A person is affected",1,0))</f>
      </c>
      <c r="H24" s="31">
        <f>IF(F24="","",IF('Eight questions'!J24="Regulated",3,1))</f>
      </c>
      <c r="I24" s="31">
        <f>IF(F24="","",MATCH(F24,Lists!$A$37:$A$40,0))</f>
      </c>
      <c r="J24" s="31">
        <f>IF(I24="","",MIN(4,MAX(I24+G24,H24)))</f>
      </c>
      <c r="K24" s="20">
        <f>IF(J24="","",INDEX(Lists!$A$37:$A$40,J24))</f>
      </c>
      <c r="L24" s="20">
        <f>IF(J24="","",INDEX(Lists!$C$37:$C$40,J24))</f>
      </c>
      <c r="M24" s="16"/>
      <c r="N24" s="16"/>
      <c r="O24" s="16"/>
      <c r="P24" s="16"/>
      <c r="Q24" s="16"/>
      <c r="R24" s="16"/>
      <c r="S24" s="16"/>
      <c r="T24" s="16"/>
      <c r="U24" s="16"/>
      <c r="V24" s="16"/>
      <c r="W24" s="20">
        <f>IF(COUNTA(P24:U24)=0,"",IF(COUNTIF(P24:U24,"Not met")&gt;0,"Blocked",IF(COUNTIF(P24:U24,"In progress")&gt;0,"In progress",IF(COUNTA(P24:U24)&lt;6,"Incomplete","Passed"))))</f>
      </c>
      <c r="X24" s="16"/>
      <c r="Y24" s="16"/>
      <c r="Z24" s="16"/>
      <c r="AA24" s="16"/>
      <c r="AB24" s="16"/>
    </row>
    <row r="25" ht="30" customHeight="1" spans="1:28" x14ac:dyDescent="0.25">
      <c r="A25" s="20">
        <f>IF(Register!A25="","",Register!A25)</f>
      </c>
      <c r="B25" s="20">
        <f>IF(Register!C25="","",Register!C25)</f>
      </c>
      <c r="C25" s="20">
        <f>IF('Eight questions'!O25="","",'Eight questions'!O25)</f>
      </c>
      <c r="D25" s="20">
        <f>IF('Eight questions'!F25="","",'Eight questions'!F25)</f>
      </c>
      <c r="E25" s="20">
        <f>IF(D25="","",IF(VALUE(LEFT(D25,1))&lt;=2,"1-2",IF(VALUE(LEFT(D25,1))=3,"3","4-5")))</f>
      </c>
      <c r="F25" s="20">
        <f>IF(OR(C25="",E25=""),"",INDEX(Lists!$B$32:$D$34,MATCH(C25,Lists!$A$32:$A$34,0),MATCH(E25,Lists!$B$31:$D$31,0)))</f>
      </c>
      <c r="G25" s="31">
        <f>IF(F25="","",IF('Eight questions'!P25="A person is affected",1,0))</f>
      </c>
      <c r="H25" s="31">
        <f>IF(F25="","",IF('Eight questions'!J25="Regulated",3,1))</f>
      </c>
      <c r="I25" s="31">
        <f>IF(F25="","",MATCH(F25,Lists!$A$37:$A$40,0))</f>
      </c>
      <c r="J25" s="31">
        <f>IF(I25="","",MIN(4,MAX(I25+G25,H25)))</f>
      </c>
      <c r="K25" s="20">
        <f>IF(J25="","",INDEX(Lists!$A$37:$A$40,J25))</f>
      </c>
      <c r="L25" s="20">
        <f>IF(J25="","",INDEX(Lists!$C$37:$C$40,J25))</f>
      </c>
      <c r="M25" s="16"/>
      <c r="N25" s="16"/>
      <c r="O25" s="16"/>
      <c r="P25" s="16"/>
      <c r="Q25" s="16"/>
      <c r="R25" s="16"/>
      <c r="S25" s="16"/>
      <c r="T25" s="16"/>
      <c r="U25" s="16"/>
      <c r="V25" s="16"/>
      <c r="W25" s="20">
        <f>IF(COUNTA(P25:U25)=0,"",IF(COUNTIF(P25:U25,"Not met")&gt;0,"Blocked",IF(COUNTIF(P25:U25,"In progress")&gt;0,"In progress",IF(COUNTA(P25:U25)&lt;6,"Incomplete","Passed"))))</f>
      </c>
      <c r="X25" s="16"/>
      <c r="Y25" s="16"/>
      <c r="Z25" s="16"/>
      <c r="AA25" s="16"/>
      <c r="AB25" s="16"/>
    </row>
    <row r="26" ht="30" customHeight="1" spans="1:28" x14ac:dyDescent="0.25">
      <c r="A26" s="20">
        <f>IF(Register!A26="","",Register!A26)</f>
      </c>
      <c r="B26" s="20">
        <f>IF(Register!C26="","",Register!C26)</f>
      </c>
      <c r="C26" s="20">
        <f>IF('Eight questions'!O26="","",'Eight questions'!O26)</f>
      </c>
      <c r="D26" s="20">
        <f>IF('Eight questions'!F26="","",'Eight questions'!F26)</f>
      </c>
      <c r="E26" s="20">
        <f>IF(D26="","",IF(VALUE(LEFT(D26,1))&lt;=2,"1-2",IF(VALUE(LEFT(D26,1))=3,"3","4-5")))</f>
      </c>
      <c r="F26" s="20">
        <f>IF(OR(C26="",E26=""),"",INDEX(Lists!$B$32:$D$34,MATCH(C26,Lists!$A$32:$A$34,0),MATCH(E26,Lists!$B$31:$D$31,0)))</f>
      </c>
      <c r="G26" s="31">
        <f>IF(F26="","",IF('Eight questions'!P26="A person is affected",1,0))</f>
      </c>
      <c r="H26" s="31">
        <f>IF(F26="","",IF('Eight questions'!J26="Regulated",3,1))</f>
      </c>
      <c r="I26" s="31">
        <f>IF(F26="","",MATCH(F26,Lists!$A$37:$A$40,0))</f>
      </c>
      <c r="J26" s="31">
        <f>IF(I26="","",MIN(4,MAX(I26+G26,H26)))</f>
      </c>
      <c r="K26" s="20">
        <f>IF(J26="","",INDEX(Lists!$A$37:$A$40,J26))</f>
      </c>
      <c r="L26" s="20">
        <f>IF(J26="","",INDEX(Lists!$C$37:$C$40,J26))</f>
      </c>
      <c r="M26" s="16"/>
      <c r="N26" s="16"/>
      <c r="O26" s="16"/>
      <c r="P26" s="16"/>
      <c r="Q26" s="16"/>
      <c r="R26" s="16"/>
      <c r="S26" s="16"/>
      <c r="T26" s="16"/>
      <c r="U26" s="16"/>
      <c r="V26" s="16"/>
      <c r="W26" s="20">
        <f>IF(COUNTA(P26:U26)=0,"",IF(COUNTIF(P26:U26,"Not met")&gt;0,"Blocked",IF(COUNTIF(P26:U26,"In progress")&gt;0,"In progress",IF(COUNTA(P26:U26)&lt;6,"Incomplete","Passed"))))</f>
      </c>
      <c r="X26" s="16"/>
      <c r="Y26" s="16"/>
      <c r="Z26" s="16"/>
      <c r="AA26" s="16"/>
      <c r="AB26" s="16"/>
    </row>
    <row r="27" ht="30" customHeight="1" spans="1:28" x14ac:dyDescent="0.25">
      <c r="A27" s="20">
        <f>IF(Register!A27="","",Register!A27)</f>
      </c>
      <c r="B27" s="20">
        <f>IF(Register!C27="","",Register!C27)</f>
      </c>
      <c r="C27" s="20">
        <f>IF('Eight questions'!O27="","",'Eight questions'!O27)</f>
      </c>
      <c r="D27" s="20">
        <f>IF('Eight questions'!F27="","",'Eight questions'!F27)</f>
      </c>
      <c r="E27" s="20">
        <f>IF(D27="","",IF(VALUE(LEFT(D27,1))&lt;=2,"1-2",IF(VALUE(LEFT(D27,1))=3,"3","4-5")))</f>
      </c>
      <c r="F27" s="20">
        <f>IF(OR(C27="",E27=""),"",INDEX(Lists!$B$32:$D$34,MATCH(C27,Lists!$A$32:$A$34,0),MATCH(E27,Lists!$B$31:$D$31,0)))</f>
      </c>
      <c r="G27" s="31">
        <f>IF(F27="","",IF('Eight questions'!P27="A person is affected",1,0))</f>
      </c>
      <c r="H27" s="31">
        <f>IF(F27="","",IF('Eight questions'!J27="Regulated",3,1))</f>
      </c>
      <c r="I27" s="31">
        <f>IF(F27="","",MATCH(F27,Lists!$A$37:$A$40,0))</f>
      </c>
      <c r="J27" s="31">
        <f>IF(I27="","",MIN(4,MAX(I27+G27,H27)))</f>
      </c>
      <c r="K27" s="20">
        <f>IF(J27="","",INDEX(Lists!$A$37:$A$40,J27))</f>
      </c>
      <c r="L27" s="20">
        <f>IF(J27="","",INDEX(Lists!$C$37:$C$40,J27))</f>
      </c>
      <c r="M27" s="16"/>
      <c r="N27" s="16"/>
      <c r="O27" s="16"/>
      <c r="P27" s="16"/>
      <c r="Q27" s="16"/>
      <c r="R27" s="16"/>
      <c r="S27" s="16"/>
      <c r="T27" s="16"/>
      <c r="U27" s="16"/>
      <c r="V27" s="16"/>
      <c r="W27" s="20">
        <f>IF(COUNTA(P27:U27)=0,"",IF(COUNTIF(P27:U27,"Not met")&gt;0,"Blocked",IF(COUNTIF(P27:U27,"In progress")&gt;0,"In progress",IF(COUNTA(P27:U27)&lt;6,"Incomplete","Passed"))))</f>
      </c>
      <c r="X27" s="16"/>
      <c r="Y27" s="16"/>
      <c r="Z27" s="16"/>
      <c r="AA27" s="16"/>
      <c r="AB27" s="16"/>
    </row>
    <row r="28" ht="30" customHeight="1" spans="1:28" x14ac:dyDescent="0.25">
      <c r="A28" s="20">
        <f>IF(Register!A28="","",Register!A28)</f>
      </c>
      <c r="B28" s="20">
        <f>IF(Register!C28="","",Register!C28)</f>
      </c>
      <c r="C28" s="20">
        <f>IF('Eight questions'!O28="","",'Eight questions'!O28)</f>
      </c>
      <c r="D28" s="20">
        <f>IF('Eight questions'!F28="","",'Eight questions'!F28)</f>
      </c>
      <c r="E28" s="20">
        <f>IF(D28="","",IF(VALUE(LEFT(D28,1))&lt;=2,"1-2",IF(VALUE(LEFT(D28,1))=3,"3","4-5")))</f>
      </c>
      <c r="F28" s="20">
        <f>IF(OR(C28="",E28=""),"",INDEX(Lists!$B$32:$D$34,MATCH(C28,Lists!$A$32:$A$34,0),MATCH(E28,Lists!$B$31:$D$31,0)))</f>
      </c>
      <c r="G28" s="31">
        <f>IF(F28="","",IF('Eight questions'!P28="A person is affected",1,0))</f>
      </c>
      <c r="H28" s="31">
        <f>IF(F28="","",IF('Eight questions'!J28="Regulated",3,1))</f>
      </c>
      <c r="I28" s="31">
        <f>IF(F28="","",MATCH(F28,Lists!$A$37:$A$40,0))</f>
      </c>
      <c r="J28" s="31">
        <f>IF(I28="","",MIN(4,MAX(I28+G28,H28)))</f>
      </c>
      <c r="K28" s="20">
        <f>IF(J28="","",INDEX(Lists!$A$37:$A$40,J28))</f>
      </c>
      <c r="L28" s="20">
        <f>IF(J28="","",INDEX(Lists!$C$37:$C$40,J28))</f>
      </c>
      <c r="M28" s="16"/>
      <c r="N28" s="16"/>
      <c r="O28" s="16"/>
      <c r="P28" s="16"/>
      <c r="Q28" s="16"/>
      <c r="R28" s="16"/>
      <c r="S28" s="16"/>
      <c r="T28" s="16"/>
      <c r="U28" s="16"/>
      <c r="V28" s="16"/>
      <c r="W28" s="20">
        <f>IF(COUNTA(P28:U28)=0,"",IF(COUNTIF(P28:U28,"Not met")&gt;0,"Blocked",IF(COUNTIF(P28:U28,"In progress")&gt;0,"In progress",IF(COUNTA(P28:U28)&lt;6,"Incomplete","Passed"))))</f>
      </c>
      <c r="X28" s="16"/>
      <c r="Y28" s="16"/>
      <c r="Z28" s="16"/>
      <c r="AA28" s="16"/>
      <c r="AB28" s="16"/>
    </row>
    <row r="29" ht="30" customHeight="1" spans="1:28" x14ac:dyDescent="0.25">
      <c r="A29" s="20">
        <f>IF(Register!A29="","",Register!A29)</f>
      </c>
      <c r="B29" s="20">
        <f>IF(Register!C29="","",Register!C29)</f>
      </c>
      <c r="C29" s="20">
        <f>IF('Eight questions'!O29="","",'Eight questions'!O29)</f>
      </c>
      <c r="D29" s="20">
        <f>IF('Eight questions'!F29="","",'Eight questions'!F29)</f>
      </c>
      <c r="E29" s="20">
        <f>IF(D29="","",IF(VALUE(LEFT(D29,1))&lt;=2,"1-2",IF(VALUE(LEFT(D29,1))=3,"3","4-5")))</f>
      </c>
      <c r="F29" s="20">
        <f>IF(OR(C29="",E29=""),"",INDEX(Lists!$B$32:$D$34,MATCH(C29,Lists!$A$32:$A$34,0),MATCH(E29,Lists!$B$31:$D$31,0)))</f>
      </c>
      <c r="G29" s="31">
        <f>IF(F29="","",IF('Eight questions'!P29="A person is affected",1,0))</f>
      </c>
      <c r="H29" s="31">
        <f>IF(F29="","",IF('Eight questions'!J29="Regulated",3,1))</f>
      </c>
      <c r="I29" s="31">
        <f>IF(F29="","",MATCH(F29,Lists!$A$37:$A$40,0))</f>
      </c>
      <c r="J29" s="31">
        <f>IF(I29="","",MIN(4,MAX(I29+G29,H29)))</f>
      </c>
      <c r="K29" s="20">
        <f>IF(J29="","",INDEX(Lists!$A$37:$A$40,J29))</f>
      </c>
      <c r="L29" s="20">
        <f>IF(J29="","",INDEX(Lists!$C$37:$C$40,J29))</f>
      </c>
      <c r="M29" s="16"/>
      <c r="N29" s="16"/>
      <c r="O29" s="16"/>
      <c r="P29" s="16"/>
      <c r="Q29" s="16"/>
      <c r="R29" s="16"/>
      <c r="S29" s="16"/>
      <c r="T29" s="16"/>
      <c r="U29" s="16"/>
      <c r="V29" s="16"/>
      <c r="W29" s="20">
        <f>IF(COUNTA(P29:U29)=0,"",IF(COUNTIF(P29:U29,"Not met")&gt;0,"Blocked",IF(COUNTIF(P29:U29,"In progress")&gt;0,"In progress",IF(COUNTA(P29:U29)&lt;6,"Incomplete","Passed"))))</f>
      </c>
      <c r="X29" s="16"/>
      <c r="Y29" s="16"/>
      <c r="Z29" s="16"/>
      <c r="AA29" s="16"/>
      <c r="AB29" s="16"/>
    </row>
    <row r="30" ht="30" customHeight="1" spans="1:28" x14ac:dyDescent="0.25">
      <c r="A30" s="20">
        <f>IF(Register!A30="","",Register!A30)</f>
      </c>
      <c r="B30" s="20">
        <f>IF(Register!C30="","",Register!C30)</f>
      </c>
      <c r="C30" s="20">
        <f>IF('Eight questions'!O30="","",'Eight questions'!O30)</f>
      </c>
      <c r="D30" s="20">
        <f>IF('Eight questions'!F30="","",'Eight questions'!F30)</f>
      </c>
      <c r="E30" s="20">
        <f>IF(D30="","",IF(VALUE(LEFT(D30,1))&lt;=2,"1-2",IF(VALUE(LEFT(D30,1))=3,"3","4-5")))</f>
      </c>
      <c r="F30" s="20">
        <f>IF(OR(C30="",E30=""),"",INDEX(Lists!$B$32:$D$34,MATCH(C30,Lists!$A$32:$A$34,0),MATCH(E30,Lists!$B$31:$D$31,0)))</f>
      </c>
      <c r="G30" s="31">
        <f>IF(F30="","",IF('Eight questions'!P30="A person is affected",1,0))</f>
      </c>
      <c r="H30" s="31">
        <f>IF(F30="","",IF('Eight questions'!J30="Regulated",3,1))</f>
      </c>
      <c r="I30" s="31">
        <f>IF(F30="","",MATCH(F30,Lists!$A$37:$A$40,0))</f>
      </c>
      <c r="J30" s="31">
        <f>IF(I30="","",MIN(4,MAX(I30+G30,H30)))</f>
      </c>
      <c r="K30" s="20">
        <f>IF(J30="","",INDEX(Lists!$A$37:$A$40,J30))</f>
      </c>
      <c r="L30" s="20">
        <f>IF(J30="","",INDEX(Lists!$C$37:$C$40,J30))</f>
      </c>
      <c r="M30" s="16"/>
      <c r="N30" s="16"/>
      <c r="O30" s="16"/>
      <c r="P30" s="16"/>
      <c r="Q30" s="16"/>
      <c r="R30" s="16"/>
      <c r="S30" s="16"/>
      <c r="T30" s="16"/>
      <c r="U30" s="16"/>
      <c r="V30" s="16"/>
      <c r="W30" s="20">
        <f>IF(COUNTA(P30:U30)=0,"",IF(COUNTIF(P30:U30,"Not met")&gt;0,"Blocked",IF(COUNTIF(P30:U30,"In progress")&gt;0,"In progress",IF(COUNTA(P30:U30)&lt;6,"Incomplete","Passed"))))</f>
      </c>
      <c r="X30" s="16"/>
      <c r="Y30" s="16"/>
      <c r="Z30" s="16"/>
      <c r="AA30" s="16"/>
      <c r="AB30" s="16"/>
    </row>
    <row r="31" ht="30" customHeight="1" spans="1:28" x14ac:dyDescent="0.25">
      <c r="A31" s="20">
        <f>IF(Register!A31="","",Register!A31)</f>
      </c>
      <c r="B31" s="20">
        <f>IF(Register!C31="","",Register!C31)</f>
      </c>
      <c r="C31" s="20">
        <f>IF('Eight questions'!O31="","",'Eight questions'!O31)</f>
      </c>
      <c r="D31" s="20">
        <f>IF('Eight questions'!F31="","",'Eight questions'!F31)</f>
      </c>
      <c r="E31" s="20">
        <f>IF(D31="","",IF(VALUE(LEFT(D31,1))&lt;=2,"1-2",IF(VALUE(LEFT(D31,1))=3,"3","4-5")))</f>
      </c>
      <c r="F31" s="20">
        <f>IF(OR(C31="",E31=""),"",INDEX(Lists!$B$32:$D$34,MATCH(C31,Lists!$A$32:$A$34,0),MATCH(E31,Lists!$B$31:$D$31,0)))</f>
      </c>
      <c r="G31" s="31">
        <f>IF(F31="","",IF('Eight questions'!P31="A person is affected",1,0))</f>
      </c>
      <c r="H31" s="31">
        <f>IF(F31="","",IF('Eight questions'!J31="Regulated",3,1))</f>
      </c>
      <c r="I31" s="31">
        <f>IF(F31="","",MATCH(F31,Lists!$A$37:$A$40,0))</f>
      </c>
      <c r="J31" s="31">
        <f>IF(I31="","",MIN(4,MAX(I31+G31,H31)))</f>
      </c>
      <c r="K31" s="20">
        <f>IF(J31="","",INDEX(Lists!$A$37:$A$40,J31))</f>
      </c>
      <c r="L31" s="20">
        <f>IF(J31="","",INDEX(Lists!$C$37:$C$40,J31))</f>
      </c>
      <c r="M31" s="16"/>
      <c r="N31" s="16"/>
      <c r="O31" s="16"/>
      <c r="P31" s="16"/>
      <c r="Q31" s="16"/>
      <c r="R31" s="16"/>
      <c r="S31" s="16"/>
      <c r="T31" s="16"/>
      <c r="U31" s="16"/>
      <c r="V31" s="16"/>
      <c r="W31" s="20">
        <f>IF(COUNTA(P31:U31)=0,"",IF(COUNTIF(P31:U31,"Not met")&gt;0,"Blocked",IF(COUNTIF(P31:U31,"In progress")&gt;0,"In progress",IF(COUNTA(P31:U31)&lt;6,"Incomplete","Passed"))))</f>
      </c>
      <c r="X31" s="16"/>
      <c r="Y31" s="16"/>
      <c r="Z31" s="16"/>
      <c r="AA31" s="16"/>
      <c r="AB31" s="16"/>
    </row>
    <row r="32" ht="30" customHeight="1" spans="1:28" x14ac:dyDescent="0.25">
      <c r="A32" s="20">
        <f>IF(Register!A32="","",Register!A32)</f>
      </c>
      <c r="B32" s="20">
        <f>IF(Register!C32="","",Register!C32)</f>
      </c>
      <c r="C32" s="20">
        <f>IF('Eight questions'!O32="","",'Eight questions'!O32)</f>
      </c>
      <c r="D32" s="20">
        <f>IF('Eight questions'!F32="","",'Eight questions'!F32)</f>
      </c>
      <c r="E32" s="20">
        <f>IF(D32="","",IF(VALUE(LEFT(D32,1))&lt;=2,"1-2",IF(VALUE(LEFT(D32,1))=3,"3","4-5")))</f>
      </c>
      <c r="F32" s="20">
        <f>IF(OR(C32="",E32=""),"",INDEX(Lists!$B$32:$D$34,MATCH(C32,Lists!$A$32:$A$34,0),MATCH(E32,Lists!$B$31:$D$31,0)))</f>
      </c>
      <c r="G32" s="31">
        <f>IF(F32="","",IF('Eight questions'!P32="A person is affected",1,0))</f>
      </c>
      <c r="H32" s="31">
        <f>IF(F32="","",IF('Eight questions'!J32="Regulated",3,1))</f>
      </c>
      <c r="I32" s="31">
        <f>IF(F32="","",MATCH(F32,Lists!$A$37:$A$40,0))</f>
      </c>
      <c r="J32" s="31">
        <f>IF(I32="","",MIN(4,MAX(I32+G32,H32)))</f>
      </c>
      <c r="K32" s="20">
        <f>IF(J32="","",INDEX(Lists!$A$37:$A$40,J32))</f>
      </c>
      <c r="L32" s="20">
        <f>IF(J32="","",INDEX(Lists!$C$37:$C$40,J32))</f>
      </c>
      <c r="M32" s="16"/>
      <c r="N32" s="16"/>
      <c r="O32" s="16"/>
      <c r="P32" s="16"/>
      <c r="Q32" s="16"/>
      <c r="R32" s="16"/>
      <c r="S32" s="16"/>
      <c r="T32" s="16"/>
      <c r="U32" s="16"/>
      <c r="V32" s="16"/>
      <c r="W32" s="20">
        <f>IF(COUNTA(P32:U32)=0,"",IF(COUNTIF(P32:U32,"Not met")&gt;0,"Blocked",IF(COUNTIF(P32:U32,"In progress")&gt;0,"In progress",IF(COUNTA(P32:U32)&lt;6,"Incomplete","Passed"))))</f>
      </c>
      <c r="X32" s="16"/>
      <c r="Y32" s="16"/>
      <c r="Z32" s="16"/>
      <c r="AA32" s="16"/>
      <c r="AB32" s="16"/>
    </row>
    <row r="33" ht="30" customHeight="1" spans="1:28" x14ac:dyDescent="0.25">
      <c r="A33" s="20">
        <f>IF(Register!A33="","",Register!A33)</f>
      </c>
      <c r="B33" s="20">
        <f>IF(Register!C33="","",Register!C33)</f>
      </c>
      <c r="C33" s="20">
        <f>IF('Eight questions'!O33="","",'Eight questions'!O33)</f>
      </c>
      <c r="D33" s="20">
        <f>IF('Eight questions'!F33="","",'Eight questions'!F33)</f>
      </c>
      <c r="E33" s="20">
        <f>IF(D33="","",IF(VALUE(LEFT(D33,1))&lt;=2,"1-2",IF(VALUE(LEFT(D33,1))=3,"3","4-5")))</f>
      </c>
      <c r="F33" s="20">
        <f>IF(OR(C33="",E33=""),"",INDEX(Lists!$B$32:$D$34,MATCH(C33,Lists!$A$32:$A$34,0),MATCH(E33,Lists!$B$31:$D$31,0)))</f>
      </c>
      <c r="G33" s="31">
        <f>IF(F33="","",IF('Eight questions'!P33="A person is affected",1,0))</f>
      </c>
      <c r="H33" s="31">
        <f>IF(F33="","",IF('Eight questions'!J33="Regulated",3,1))</f>
      </c>
      <c r="I33" s="31">
        <f>IF(F33="","",MATCH(F33,Lists!$A$37:$A$40,0))</f>
      </c>
      <c r="J33" s="31">
        <f>IF(I33="","",MIN(4,MAX(I33+G33,H33)))</f>
      </c>
      <c r="K33" s="20">
        <f>IF(J33="","",INDEX(Lists!$A$37:$A$40,J33))</f>
      </c>
      <c r="L33" s="20">
        <f>IF(J33="","",INDEX(Lists!$C$37:$C$40,J33))</f>
      </c>
      <c r="M33" s="16"/>
      <c r="N33" s="16"/>
      <c r="O33" s="16"/>
      <c r="P33" s="16"/>
      <c r="Q33" s="16"/>
      <c r="R33" s="16"/>
      <c r="S33" s="16"/>
      <c r="T33" s="16"/>
      <c r="U33" s="16"/>
      <c r="V33" s="16"/>
      <c r="W33" s="20">
        <f>IF(COUNTA(P33:U33)=0,"",IF(COUNTIF(P33:U33,"Not met")&gt;0,"Blocked",IF(COUNTIF(P33:U33,"In progress")&gt;0,"In progress",IF(COUNTA(P33:U33)&lt;6,"Incomplete","Passed"))))</f>
      </c>
      <c r="X33" s="16"/>
      <c r="Y33" s="16"/>
      <c r="Z33" s="16"/>
      <c r="AA33" s="16"/>
      <c r="AB33" s="16"/>
    </row>
    <row r="34" ht="30" customHeight="1" spans="1:28" x14ac:dyDescent="0.25">
      <c r="A34" s="20">
        <f>IF(Register!A34="","",Register!A34)</f>
      </c>
      <c r="B34" s="20">
        <f>IF(Register!C34="","",Register!C34)</f>
      </c>
      <c r="C34" s="20">
        <f>IF('Eight questions'!O34="","",'Eight questions'!O34)</f>
      </c>
      <c r="D34" s="20">
        <f>IF('Eight questions'!F34="","",'Eight questions'!F34)</f>
      </c>
      <c r="E34" s="20">
        <f>IF(D34="","",IF(VALUE(LEFT(D34,1))&lt;=2,"1-2",IF(VALUE(LEFT(D34,1))=3,"3","4-5")))</f>
      </c>
      <c r="F34" s="20">
        <f>IF(OR(C34="",E34=""),"",INDEX(Lists!$B$32:$D$34,MATCH(C34,Lists!$A$32:$A$34,0),MATCH(E34,Lists!$B$31:$D$31,0)))</f>
      </c>
      <c r="G34" s="31">
        <f>IF(F34="","",IF('Eight questions'!P34="A person is affected",1,0))</f>
      </c>
      <c r="H34" s="31">
        <f>IF(F34="","",IF('Eight questions'!J34="Regulated",3,1))</f>
      </c>
      <c r="I34" s="31">
        <f>IF(F34="","",MATCH(F34,Lists!$A$37:$A$40,0))</f>
      </c>
      <c r="J34" s="31">
        <f>IF(I34="","",MIN(4,MAX(I34+G34,H34)))</f>
      </c>
      <c r="K34" s="20">
        <f>IF(J34="","",INDEX(Lists!$A$37:$A$40,J34))</f>
      </c>
      <c r="L34" s="20">
        <f>IF(J34="","",INDEX(Lists!$C$37:$C$40,J34))</f>
      </c>
      <c r="M34" s="16"/>
      <c r="N34" s="16"/>
      <c r="O34" s="16"/>
      <c r="P34" s="16"/>
      <c r="Q34" s="16"/>
      <c r="R34" s="16"/>
      <c r="S34" s="16"/>
      <c r="T34" s="16"/>
      <c r="U34" s="16"/>
      <c r="V34" s="16"/>
      <c r="W34" s="20">
        <f>IF(COUNTA(P34:U34)=0,"",IF(COUNTIF(P34:U34,"Not met")&gt;0,"Blocked",IF(COUNTIF(P34:U34,"In progress")&gt;0,"In progress",IF(COUNTA(P34:U34)&lt;6,"Incomplete","Passed"))))</f>
      </c>
      <c r="X34" s="16"/>
      <c r="Y34" s="16"/>
      <c r="Z34" s="16"/>
      <c r="AA34" s="16"/>
      <c r="AB34" s="16"/>
    </row>
    <row r="35" ht="30" customHeight="1" spans="1:28" x14ac:dyDescent="0.25">
      <c r="A35" s="20">
        <f>IF(Register!A35="","",Register!A35)</f>
      </c>
      <c r="B35" s="20">
        <f>IF(Register!C35="","",Register!C35)</f>
      </c>
      <c r="C35" s="20">
        <f>IF('Eight questions'!O35="","",'Eight questions'!O35)</f>
      </c>
      <c r="D35" s="20">
        <f>IF('Eight questions'!F35="","",'Eight questions'!F35)</f>
      </c>
      <c r="E35" s="20">
        <f>IF(D35="","",IF(VALUE(LEFT(D35,1))&lt;=2,"1-2",IF(VALUE(LEFT(D35,1))=3,"3","4-5")))</f>
      </c>
      <c r="F35" s="20">
        <f>IF(OR(C35="",E35=""),"",INDEX(Lists!$B$32:$D$34,MATCH(C35,Lists!$A$32:$A$34,0),MATCH(E35,Lists!$B$31:$D$31,0)))</f>
      </c>
      <c r="G35" s="31">
        <f>IF(F35="","",IF('Eight questions'!P35="A person is affected",1,0))</f>
      </c>
      <c r="H35" s="31">
        <f>IF(F35="","",IF('Eight questions'!J35="Regulated",3,1))</f>
      </c>
      <c r="I35" s="31">
        <f>IF(F35="","",MATCH(F35,Lists!$A$37:$A$40,0))</f>
      </c>
      <c r="J35" s="31">
        <f>IF(I35="","",MIN(4,MAX(I35+G35,H35)))</f>
      </c>
      <c r="K35" s="20">
        <f>IF(J35="","",INDEX(Lists!$A$37:$A$40,J35))</f>
      </c>
      <c r="L35" s="20">
        <f>IF(J35="","",INDEX(Lists!$C$37:$C$40,J35))</f>
      </c>
      <c r="M35" s="16"/>
      <c r="N35" s="16"/>
      <c r="O35" s="16"/>
      <c r="P35" s="16"/>
      <c r="Q35" s="16"/>
      <c r="R35" s="16"/>
      <c r="S35" s="16"/>
      <c r="T35" s="16"/>
      <c r="U35" s="16"/>
      <c r="V35" s="16"/>
      <c r="W35" s="20">
        <f>IF(COUNTA(P35:U35)=0,"",IF(COUNTIF(P35:U35,"Not met")&gt;0,"Blocked",IF(COUNTIF(P35:U35,"In progress")&gt;0,"In progress",IF(COUNTA(P35:U35)&lt;6,"Incomplete","Passed"))))</f>
      </c>
      <c r="X35" s="16"/>
      <c r="Y35" s="16"/>
      <c r="Z35" s="16"/>
      <c r="AA35" s="16"/>
      <c r="AB35" s="16"/>
    </row>
    <row r="36" ht="30" customHeight="1" spans="1:28" x14ac:dyDescent="0.25">
      <c r="A36" s="20">
        <f>IF(Register!A36="","",Register!A36)</f>
      </c>
      <c r="B36" s="20">
        <f>IF(Register!C36="","",Register!C36)</f>
      </c>
      <c r="C36" s="20">
        <f>IF('Eight questions'!O36="","",'Eight questions'!O36)</f>
      </c>
      <c r="D36" s="20">
        <f>IF('Eight questions'!F36="","",'Eight questions'!F36)</f>
      </c>
      <c r="E36" s="20">
        <f>IF(D36="","",IF(VALUE(LEFT(D36,1))&lt;=2,"1-2",IF(VALUE(LEFT(D36,1))=3,"3","4-5")))</f>
      </c>
      <c r="F36" s="20">
        <f>IF(OR(C36="",E36=""),"",INDEX(Lists!$B$32:$D$34,MATCH(C36,Lists!$A$32:$A$34,0),MATCH(E36,Lists!$B$31:$D$31,0)))</f>
      </c>
      <c r="G36" s="31">
        <f>IF(F36="","",IF('Eight questions'!P36="A person is affected",1,0))</f>
      </c>
      <c r="H36" s="31">
        <f>IF(F36="","",IF('Eight questions'!J36="Regulated",3,1))</f>
      </c>
      <c r="I36" s="31">
        <f>IF(F36="","",MATCH(F36,Lists!$A$37:$A$40,0))</f>
      </c>
      <c r="J36" s="31">
        <f>IF(I36="","",MIN(4,MAX(I36+G36,H36)))</f>
      </c>
      <c r="K36" s="20">
        <f>IF(J36="","",INDEX(Lists!$A$37:$A$40,J36))</f>
      </c>
      <c r="L36" s="20">
        <f>IF(J36="","",INDEX(Lists!$C$37:$C$40,J36))</f>
      </c>
      <c r="M36" s="16"/>
      <c r="N36" s="16"/>
      <c r="O36" s="16"/>
      <c r="P36" s="16"/>
      <c r="Q36" s="16"/>
      <c r="R36" s="16"/>
      <c r="S36" s="16"/>
      <c r="T36" s="16"/>
      <c r="U36" s="16"/>
      <c r="V36" s="16"/>
      <c r="W36" s="20">
        <f>IF(COUNTA(P36:U36)=0,"",IF(COUNTIF(P36:U36,"Not met")&gt;0,"Blocked",IF(COUNTIF(P36:U36,"In progress")&gt;0,"In progress",IF(COUNTA(P36:U36)&lt;6,"Incomplete","Passed"))))</f>
      </c>
      <c r="X36" s="16"/>
      <c r="Y36" s="16"/>
      <c r="Z36" s="16"/>
      <c r="AA36" s="16"/>
      <c r="AB36" s="16"/>
    </row>
    <row r="37" ht="30" customHeight="1" spans="1:28" x14ac:dyDescent="0.25">
      <c r="A37" s="20">
        <f>IF(Register!A37="","",Register!A37)</f>
      </c>
      <c r="B37" s="20">
        <f>IF(Register!C37="","",Register!C37)</f>
      </c>
      <c r="C37" s="20">
        <f>IF('Eight questions'!O37="","",'Eight questions'!O37)</f>
      </c>
      <c r="D37" s="20">
        <f>IF('Eight questions'!F37="","",'Eight questions'!F37)</f>
      </c>
      <c r="E37" s="20">
        <f>IF(D37="","",IF(VALUE(LEFT(D37,1))&lt;=2,"1-2",IF(VALUE(LEFT(D37,1))=3,"3","4-5")))</f>
      </c>
      <c r="F37" s="20">
        <f>IF(OR(C37="",E37=""),"",INDEX(Lists!$B$32:$D$34,MATCH(C37,Lists!$A$32:$A$34,0),MATCH(E37,Lists!$B$31:$D$31,0)))</f>
      </c>
      <c r="G37" s="31">
        <f>IF(F37="","",IF('Eight questions'!P37="A person is affected",1,0))</f>
      </c>
      <c r="H37" s="31">
        <f>IF(F37="","",IF('Eight questions'!J37="Regulated",3,1))</f>
      </c>
      <c r="I37" s="31">
        <f>IF(F37="","",MATCH(F37,Lists!$A$37:$A$40,0))</f>
      </c>
      <c r="J37" s="31">
        <f>IF(I37="","",MIN(4,MAX(I37+G37,H37)))</f>
      </c>
      <c r="K37" s="20">
        <f>IF(J37="","",INDEX(Lists!$A$37:$A$40,J37))</f>
      </c>
      <c r="L37" s="20">
        <f>IF(J37="","",INDEX(Lists!$C$37:$C$40,J37))</f>
      </c>
      <c r="M37" s="16"/>
      <c r="N37" s="16"/>
      <c r="O37" s="16"/>
      <c r="P37" s="16"/>
      <c r="Q37" s="16"/>
      <c r="R37" s="16"/>
      <c r="S37" s="16"/>
      <c r="T37" s="16"/>
      <c r="U37" s="16"/>
      <c r="V37" s="16"/>
      <c r="W37" s="20">
        <f>IF(COUNTA(P37:U37)=0,"",IF(COUNTIF(P37:U37,"Not met")&gt;0,"Blocked",IF(COUNTIF(P37:U37,"In progress")&gt;0,"In progress",IF(COUNTA(P37:U37)&lt;6,"Incomplete","Passed"))))</f>
      </c>
      <c r="X37" s="16"/>
      <c r="Y37" s="16"/>
      <c r="Z37" s="16"/>
      <c r="AA37" s="16"/>
      <c r="AB37" s="16"/>
    </row>
    <row r="38" ht="30" customHeight="1" spans="1:28" x14ac:dyDescent="0.25">
      <c r="A38" s="20">
        <f>IF(Register!A38="","",Register!A38)</f>
      </c>
      <c r="B38" s="20">
        <f>IF(Register!C38="","",Register!C38)</f>
      </c>
      <c r="C38" s="20">
        <f>IF('Eight questions'!O38="","",'Eight questions'!O38)</f>
      </c>
      <c r="D38" s="20">
        <f>IF('Eight questions'!F38="","",'Eight questions'!F38)</f>
      </c>
      <c r="E38" s="20">
        <f>IF(D38="","",IF(VALUE(LEFT(D38,1))&lt;=2,"1-2",IF(VALUE(LEFT(D38,1))=3,"3","4-5")))</f>
      </c>
      <c r="F38" s="20">
        <f>IF(OR(C38="",E38=""),"",INDEX(Lists!$B$32:$D$34,MATCH(C38,Lists!$A$32:$A$34,0),MATCH(E38,Lists!$B$31:$D$31,0)))</f>
      </c>
      <c r="G38" s="31">
        <f>IF(F38="","",IF('Eight questions'!P38="A person is affected",1,0))</f>
      </c>
      <c r="H38" s="31">
        <f>IF(F38="","",IF('Eight questions'!J38="Regulated",3,1))</f>
      </c>
      <c r="I38" s="31">
        <f>IF(F38="","",MATCH(F38,Lists!$A$37:$A$40,0))</f>
      </c>
      <c r="J38" s="31">
        <f>IF(I38="","",MIN(4,MAX(I38+G38,H38)))</f>
      </c>
      <c r="K38" s="20">
        <f>IF(J38="","",INDEX(Lists!$A$37:$A$40,J38))</f>
      </c>
      <c r="L38" s="20">
        <f>IF(J38="","",INDEX(Lists!$C$37:$C$40,J38))</f>
      </c>
      <c r="M38" s="16"/>
      <c r="N38" s="16"/>
      <c r="O38" s="16"/>
      <c r="P38" s="16"/>
      <c r="Q38" s="16"/>
      <c r="R38" s="16"/>
      <c r="S38" s="16"/>
      <c r="T38" s="16"/>
      <c r="U38" s="16"/>
      <c r="V38" s="16"/>
      <c r="W38" s="20">
        <f>IF(COUNTA(P38:U38)=0,"",IF(COUNTIF(P38:U38,"Not met")&gt;0,"Blocked",IF(COUNTIF(P38:U38,"In progress")&gt;0,"In progress",IF(COUNTA(P38:U38)&lt;6,"Incomplete","Passed"))))</f>
      </c>
      <c r="X38" s="16"/>
      <c r="Y38" s="16"/>
      <c r="Z38" s="16"/>
      <c r="AA38" s="16"/>
      <c r="AB38" s="16"/>
    </row>
    <row r="39" ht="30" customHeight="1" spans="1:28" x14ac:dyDescent="0.25">
      <c r="A39" s="20">
        <f>IF(Register!A39="","",Register!A39)</f>
      </c>
      <c r="B39" s="20">
        <f>IF(Register!C39="","",Register!C39)</f>
      </c>
      <c r="C39" s="20">
        <f>IF('Eight questions'!O39="","",'Eight questions'!O39)</f>
      </c>
      <c r="D39" s="20">
        <f>IF('Eight questions'!F39="","",'Eight questions'!F39)</f>
      </c>
      <c r="E39" s="20">
        <f>IF(D39="","",IF(VALUE(LEFT(D39,1))&lt;=2,"1-2",IF(VALUE(LEFT(D39,1))=3,"3","4-5")))</f>
      </c>
      <c r="F39" s="20">
        <f>IF(OR(C39="",E39=""),"",INDEX(Lists!$B$32:$D$34,MATCH(C39,Lists!$A$32:$A$34,0),MATCH(E39,Lists!$B$31:$D$31,0)))</f>
      </c>
      <c r="G39" s="31">
        <f>IF(F39="","",IF('Eight questions'!P39="A person is affected",1,0))</f>
      </c>
      <c r="H39" s="31">
        <f>IF(F39="","",IF('Eight questions'!J39="Regulated",3,1))</f>
      </c>
      <c r="I39" s="31">
        <f>IF(F39="","",MATCH(F39,Lists!$A$37:$A$40,0))</f>
      </c>
      <c r="J39" s="31">
        <f>IF(I39="","",MIN(4,MAX(I39+G39,H39)))</f>
      </c>
      <c r="K39" s="20">
        <f>IF(J39="","",INDEX(Lists!$A$37:$A$40,J39))</f>
      </c>
      <c r="L39" s="20">
        <f>IF(J39="","",INDEX(Lists!$C$37:$C$40,J39))</f>
      </c>
      <c r="M39" s="16"/>
      <c r="N39" s="16"/>
      <c r="O39" s="16"/>
      <c r="P39" s="16"/>
      <c r="Q39" s="16"/>
      <c r="R39" s="16"/>
      <c r="S39" s="16"/>
      <c r="T39" s="16"/>
      <c r="U39" s="16"/>
      <c r="V39" s="16"/>
      <c r="W39" s="20">
        <f>IF(COUNTA(P39:U39)=0,"",IF(COUNTIF(P39:U39,"Not met")&gt;0,"Blocked",IF(COUNTIF(P39:U39,"In progress")&gt;0,"In progress",IF(COUNTA(P39:U39)&lt;6,"Incomplete","Passed"))))</f>
      </c>
      <c r="X39" s="16"/>
      <c r="Y39" s="16"/>
      <c r="Z39" s="16"/>
      <c r="AA39" s="16"/>
      <c r="AB39" s="16"/>
    </row>
    <row r="40" ht="30" customHeight="1" spans="1:28" x14ac:dyDescent="0.25">
      <c r="A40" s="20">
        <f>IF(Register!A40="","",Register!A40)</f>
      </c>
      <c r="B40" s="20">
        <f>IF(Register!C40="","",Register!C40)</f>
      </c>
      <c r="C40" s="20">
        <f>IF('Eight questions'!O40="","",'Eight questions'!O40)</f>
      </c>
      <c r="D40" s="20">
        <f>IF('Eight questions'!F40="","",'Eight questions'!F40)</f>
      </c>
      <c r="E40" s="20">
        <f>IF(D40="","",IF(VALUE(LEFT(D40,1))&lt;=2,"1-2",IF(VALUE(LEFT(D40,1))=3,"3","4-5")))</f>
      </c>
      <c r="F40" s="20">
        <f>IF(OR(C40="",E40=""),"",INDEX(Lists!$B$32:$D$34,MATCH(C40,Lists!$A$32:$A$34,0),MATCH(E40,Lists!$B$31:$D$31,0)))</f>
      </c>
      <c r="G40" s="31">
        <f>IF(F40="","",IF('Eight questions'!P40="A person is affected",1,0))</f>
      </c>
      <c r="H40" s="31">
        <f>IF(F40="","",IF('Eight questions'!J40="Regulated",3,1))</f>
      </c>
      <c r="I40" s="31">
        <f>IF(F40="","",MATCH(F40,Lists!$A$37:$A$40,0))</f>
      </c>
      <c r="J40" s="31">
        <f>IF(I40="","",MIN(4,MAX(I40+G40,H40)))</f>
      </c>
      <c r="K40" s="20">
        <f>IF(J40="","",INDEX(Lists!$A$37:$A$40,J40))</f>
      </c>
      <c r="L40" s="20">
        <f>IF(J40="","",INDEX(Lists!$C$37:$C$40,J40))</f>
      </c>
      <c r="M40" s="16"/>
      <c r="N40" s="16"/>
      <c r="O40" s="16"/>
      <c r="P40" s="16"/>
      <c r="Q40" s="16"/>
      <c r="R40" s="16"/>
      <c r="S40" s="16"/>
      <c r="T40" s="16"/>
      <c r="U40" s="16"/>
      <c r="V40" s="16"/>
      <c r="W40" s="20">
        <f>IF(COUNTA(P40:U40)=0,"",IF(COUNTIF(P40:U40,"Not met")&gt;0,"Blocked",IF(COUNTIF(P40:U40,"In progress")&gt;0,"In progress",IF(COUNTA(P40:U40)&lt;6,"Incomplete","Passed"))))</f>
      </c>
      <c r="X40" s="16"/>
      <c r="Y40" s="16"/>
      <c r="Z40" s="16"/>
      <c r="AA40" s="16"/>
      <c r="AB40" s="16"/>
    </row>
    <row r="41" ht="30" customHeight="1" spans="1:28" x14ac:dyDescent="0.25">
      <c r="A41" s="20">
        <f>IF(Register!A41="","",Register!A41)</f>
      </c>
      <c r="B41" s="20">
        <f>IF(Register!C41="","",Register!C41)</f>
      </c>
      <c r="C41" s="20">
        <f>IF('Eight questions'!O41="","",'Eight questions'!O41)</f>
      </c>
      <c r="D41" s="20">
        <f>IF('Eight questions'!F41="","",'Eight questions'!F41)</f>
      </c>
      <c r="E41" s="20">
        <f>IF(D41="","",IF(VALUE(LEFT(D41,1))&lt;=2,"1-2",IF(VALUE(LEFT(D41,1))=3,"3","4-5")))</f>
      </c>
      <c r="F41" s="20">
        <f>IF(OR(C41="",E41=""),"",INDEX(Lists!$B$32:$D$34,MATCH(C41,Lists!$A$32:$A$34,0),MATCH(E41,Lists!$B$31:$D$31,0)))</f>
      </c>
      <c r="G41" s="31">
        <f>IF(F41="","",IF('Eight questions'!P41="A person is affected",1,0))</f>
      </c>
      <c r="H41" s="31">
        <f>IF(F41="","",IF('Eight questions'!J41="Regulated",3,1))</f>
      </c>
      <c r="I41" s="31">
        <f>IF(F41="","",MATCH(F41,Lists!$A$37:$A$40,0))</f>
      </c>
      <c r="J41" s="31">
        <f>IF(I41="","",MIN(4,MAX(I41+G41,H41)))</f>
      </c>
      <c r="K41" s="20">
        <f>IF(J41="","",INDEX(Lists!$A$37:$A$40,J41))</f>
      </c>
      <c r="L41" s="20">
        <f>IF(J41="","",INDEX(Lists!$C$37:$C$40,J41))</f>
      </c>
      <c r="M41" s="16"/>
      <c r="N41" s="16"/>
      <c r="O41" s="16"/>
      <c r="P41" s="16"/>
      <c r="Q41" s="16"/>
      <c r="R41" s="16"/>
      <c r="S41" s="16"/>
      <c r="T41" s="16"/>
      <c r="U41" s="16"/>
      <c r="V41" s="16"/>
      <c r="W41" s="20">
        <f>IF(COUNTA(P41:U41)=0,"",IF(COUNTIF(P41:U41,"Not met")&gt;0,"Blocked",IF(COUNTIF(P41:U41,"In progress")&gt;0,"In progress",IF(COUNTA(P41:U41)&lt;6,"Incomplete","Passed"))))</f>
      </c>
      <c r="X41" s="16"/>
      <c r="Y41" s="16"/>
      <c r="Z41" s="16"/>
      <c r="AA41" s="16"/>
      <c r="AB41" s="16"/>
    </row>
    <row r="42" ht="30" customHeight="1" spans="1:28" x14ac:dyDescent="0.25">
      <c r="A42" s="20">
        <f>IF(Register!A42="","",Register!A42)</f>
      </c>
      <c r="B42" s="20">
        <f>IF(Register!C42="","",Register!C42)</f>
      </c>
      <c r="C42" s="20">
        <f>IF('Eight questions'!O42="","",'Eight questions'!O42)</f>
      </c>
      <c r="D42" s="20">
        <f>IF('Eight questions'!F42="","",'Eight questions'!F42)</f>
      </c>
      <c r="E42" s="20">
        <f>IF(D42="","",IF(VALUE(LEFT(D42,1))&lt;=2,"1-2",IF(VALUE(LEFT(D42,1))=3,"3","4-5")))</f>
      </c>
      <c r="F42" s="20">
        <f>IF(OR(C42="",E42=""),"",INDEX(Lists!$B$32:$D$34,MATCH(C42,Lists!$A$32:$A$34,0),MATCH(E42,Lists!$B$31:$D$31,0)))</f>
      </c>
      <c r="G42" s="31">
        <f>IF(F42="","",IF('Eight questions'!P42="A person is affected",1,0))</f>
      </c>
      <c r="H42" s="31">
        <f>IF(F42="","",IF('Eight questions'!J42="Regulated",3,1))</f>
      </c>
      <c r="I42" s="31">
        <f>IF(F42="","",MATCH(F42,Lists!$A$37:$A$40,0))</f>
      </c>
      <c r="J42" s="31">
        <f>IF(I42="","",MIN(4,MAX(I42+G42,H42)))</f>
      </c>
      <c r="K42" s="20">
        <f>IF(J42="","",INDEX(Lists!$A$37:$A$40,J42))</f>
      </c>
      <c r="L42" s="20">
        <f>IF(J42="","",INDEX(Lists!$C$37:$C$40,J42))</f>
      </c>
      <c r="M42" s="16"/>
      <c r="N42" s="16"/>
      <c r="O42" s="16"/>
      <c r="P42" s="16"/>
      <c r="Q42" s="16"/>
      <c r="R42" s="16"/>
      <c r="S42" s="16"/>
      <c r="T42" s="16"/>
      <c r="U42" s="16"/>
      <c r="V42" s="16"/>
      <c r="W42" s="20">
        <f>IF(COUNTA(P42:U42)=0,"",IF(COUNTIF(P42:U42,"Not met")&gt;0,"Blocked",IF(COUNTIF(P42:U42,"In progress")&gt;0,"In progress",IF(COUNTA(P42:U42)&lt;6,"Incomplete","Passed"))))</f>
      </c>
      <c r="X42" s="16"/>
      <c r="Y42" s="16"/>
      <c r="Z42" s="16"/>
      <c r="AA42" s="16"/>
      <c r="AB42" s="16"/>
    </row>
    <row r="43" ht="30" customHeight="1" spans="1:28" x14ac:dyDescent="0.25">
      <c r="A43" s="20">
        <f>IF(Register!A43="","",Register!A43)</f>
      </c>
      <c r="B43" s="20">
        <f>IF(Register!C43="","",Register!C43)</f>
      </c>
      <c r="C43" s="20">
        <f>IF('Eight questions'!O43="","",'Eight questions'!O43)</f>
      </c>
      <c r="D43" s="20">
        <f>IF('Eight questions'!F43="","",'Eight questions'!F43)</f>
      </c>
      <c r="E43" s="20">
        <f>IF(D43="","",IF(VALUE(LEFT(D43,1))&lt;=2,"1-2",IF(VALUE(LEFT(D43,1))=3,"3","4-5")))</f>
      </c>
      <c r="F43" s="20">
        <f>IF(OR(C43="",E43=""),"",INDEX(Lists!$B$32:$D$34,MATCH(C43,Lists!$A$32:$A$34,0),MATCH(E43,Lists!$B$31:$D$31,0)))</f>
      </c>
      <c r="G43" s="31">
        <f>IF(F43="","",IF('Eight questions'!P43="A person is affected",1,0))</f>
      </c>
      <c r="H43" s="31">
        <f>IF(F43="","",IF('Eight questions'!J43="Regulated",3,1))</f>
      </c>
      <c r="I43" s="31">
        <f>IF(F43="","",MATCH(F43,Lists!$A$37:$A$40,0))</f>
      </c>
      <c r="J43" s="31">
        <f>IF(I43="","",MIN(4,MAX(I43+G43,H43)))</f>
      </c>
      <c r="K43" s="20">
        <f>IF(J43="","",INDEX(Lists!$A$37:$A$40,J43))</f>
      </c>
      <c r="L43" s="20">
        <f>IF(J43="","",INDEX(Lists!$C$37:$C$40,J43))</f>
      </c>
      <c r="M43" s="16"/>
      <c r="N43" s="16"/>
      <c r="O43" s="16"/>
      <c r="P43" s="16"/>
      <c r="Q43" s="16"/>
      <c r="R43" s="16"/>
      <c r="S43" s="16"/>
      <c r="T43" s="16"/>
      <c r="U43" s="16"/>
      <c r="V43" s="16"/>
      <c r="W43" s="20">
        <f>IF(COUNTA(P43:U43)=0,"",IF(COUNTIF(P43:U43,"Not met")&gt;0,"Blocked",IF(COUNTIF(P43:U43,"In progress")&gt;0,"In progress",IF(COUNTA(P43:U43)&lt;6,"Incomplete","Passed"))))</f>
      </c>
      <c r="X43" s="16"/>
      <c r="Y43" s="16"/>
      <c r="Z43" s="16"/>
      <c r="AA43" s="16"/>
      <c r="AB43" s="16"/>
    </row>
    <row r="44" ht="30" customHeight="1" spans="1:28" x14ac:dyDescent="0.25">
      <c r="A44" s="20">
        <f>IF(Register!A44="","",Register!A44)</f>
      </c>
      <c r="B44" s="20">
        <f>IF(Register!C44="","",Register!C44)</f>
      </c>
      <c r="C44" s="20">
        <f>IF('Eight questions'!O44="","",'Eight questions'!O44)</f>
      </c>
      <c r="D44" s="20">
        <f>IF('Eight questions'!F44="","",'Eight questions'!F44)</f>
      </c>
      <c r="E44" s="20">
        <f>IF(D44="","",IF(VALUE(LEFT(D44,1))&lt;=2,"1-2",IF(VALUE(LEFT(D44,1))=3,"3","4-5")))</f>
      </c>
      <c r="F44" s="20">
        <f>IF(OR(C44="",E44=""),"",INDEX(Lists!$B$32:$D$34,MATCH(C44,Lists!$A$32:$A$34,0),MATCH(E44,Lists!$B$31:$D$31,0)))</f>
      </c>
      <c r="G44" s="31">
        <f>IF(F44="","",IF('Eight questions'!P44="A person is affected",1,0))</f>
      </c>
      <c r="H44" s="31">
        <f>IF(F44="","",IF('Eight questions'!J44="Regulated",3,1))</f>
      </c>
      <c r="I44" s="31">
        <f>IF(F44="","",MATCH(F44,Lists!$A$37:$A$40,0))</f>
      </c>
      <c r="J44" s="31">
        <f>IF(I44="","",MIN(4,MAX(I44+G44,H44)))</f>
      </c>
      <c r="K44" s="20">
        <f>IF(J44="","",INDEX(Lists!$A$37:$A$40,J44))</f>
      </c>
      <c r="L44" s="20">
        <f>IF(J44="","",INDEX(Lists!$C$37:$C$40,J44))</f>
      </c>
      <c r="M44" s="16"/>
      <c r="N44" s="16"/>
      <c r="O44" s="16"/>
      <c r="P44" s="16"/>
      <c r="Q44" s="16"/>
      <c r="R44" s="16"/>
      <c r="S44" s="16"/>
      <c r="T44" s="16"/>
      <c r="U44" s="16"/>
      <c r="V44" s="16"/>
      <c r="W44" s="20">
        <f>IF(COUNTA(P44:U44)=0,"",IF(COUNTIF(P44:U44,"Not met")&gt;0,"Blocked",IF(COUNTIF(P44:U44,"In progress")&gt;0,"In progress",IF(COUNTA(P44:U44)&lt;6,"Incomplete","Passed"))))</f>
      </c>
      <c r="X44" s="16"/>
      <c r="Y44" s="16"/>
      <c r="Z44" s="16"/>
      <c r="AA44" s="16"/>
      <c r="AB44" s="16"/>
    </row>
    <row r="45" ht="30" customHeight="1" spans="1:28" x14ac:dyDescent="0.25">
      <c r="A45" s="20">
        <f>IF(Register!A45="","",Register!A45)</f>
      </c>
      <c r="B45" s="20">
        <f>IF(Register!C45="","",Register!C45)</f>
      </c>
      <c r="C45" s="20">
        <f>IF('Eight questions'!O45="","",'Eight questions'!O45)</f>
      </c>
      <c r="D45" s="20">
        <f>IF('Eight questions'!F45="","",'Eight questions'!F45)</f>
      </c>
      <c r="E45" s="20">
        <f>IF(D45="","",IF(VALUE(LEFT(D45,1))&lt;=2,"1-2",IF(VALUE(LEFT(D45,1))=3,"3","4-5")))</f>
      </c>
      <c r="F45" s="20">
        <f>IF(OR(C45="",E45=""),"",INDEX(Lists!$B$32:$D$34,MATCH(C45,Lists!$A$32:$A$34,0),MATCH(E45,Lists!$B$31:$D$31,0)))</f>
      </c>
      <c r="G45" s="31">
        <f>IF(F45="","",IF('Eight questions'!P45="A person is affected",1,0))</f>
      </c>
      <c r="H45" s="31">
        <f>IF(F45="","",IF('Eight questions'!J45="Regulated",3,1))</f>
      </c>
      <c r="I45" s="31">
        <f>IF(F45="","",MATCH(F45,Lists!$A$37:$A$40,0))</f>
      </c>
      <c r="J45" s="31">
        <f>IF(I45="","",MIN(4,MAX(I45+G45,H45)))</f>
      </c>
      <c r="K45" s="20">
        <f>IF(J45="","",INDEX(Lists!$A$37:$A$40,J45))</f>
      </c>
      <c r="L45" s="20">
        <f>IF(J45="","",INDEX(Lists!$C$37:$C$40,J45))</f>
      </c>
      <c r="M45" s="16"/>
      <c r="N45" s="16"/>
      <c r="O45" s="16"/>
      <c r="P45" s="16"/>
      <c r="Q45" s="16"/>
      <c r="R45" s="16"/>
      <c r="S45" s="16"/>
      <c r="T45" s="16"/>
      <c r="U45" s="16"/>
      <c r="V45" s="16"/>
      <c r="W45" s="20">
        <f>IF(COUNTA(P45:U45)=0,"",IF(COUNTIF(P45:U45,"Not met")&gt;0,"Blocked",IF(COUNTIF(P45:U45,"In progress")&gt;0,"In progress",IF(COUNTA(P45:U45)&lt;6,"Incomplete","Passed"))))</f>
      </c>
      <c r="X45" s="16"/>
      <c r="Y45" s="16"/>
      <c r="Z45" s="16"/>
      <c r="AA45" s="16"/>
      <c r="AB45" s="16"/>
    </row>
    <row r="46" ht="30" customHeight="1" spans="1:28" x14ac:dyDescent="0.25">
      <c r="A46" s="20">
        <f>IF(Register!A46="","",Register!A46)</f>
      </c>
      <c r="B46" s="20">
        <f>IF(Register!C46="","",Register!C46)</f>
      </c>
      <c r="C46" s="20">
        <f>IF('Eight questions'!O46="","",'Eight questions'!O46)</f>
      </c>
      <c r="D46" s="20">
        <f>IF('Eight questions'!F46="","",'Eight questions'!F46)</f>
      </c>
      <c r="E46" s="20">
        <f>IF(D46="","",IF(VALUE(LEFT(D46,1))&lt;=2,"1-2",IF(VALUE(LEFT(D46,1))=3,"3","4-5")))</f>
      </c>
      <c r="F46" s="20">
        <f>IF(OR(C46="",E46=""),"",INDEX(Lists!$B$32:$D$34,MATCH(C46,Lists!$A$32:$A$34,0),MATCH(E46,Lists!$B$31:$D$31,0)))</f>
      </c>
      <c r="G46" s="31">
        <f>IF(F46="","",IF('Eight questions'!P46="A person is affected",1,0))</f>
      </c>
      <c r="H46" s="31">
        <f>IF(F46="","",IF('Eight questions'!J46="Regulated",3,1))</f>
      </c>
      <c r="I46" s="31">
        <f>IF(F46="","",MATCH(F46,Lists!$A$37:$A$40,0))</f>
      </c>
      <c r="J46" s="31">
        <f>IF(I46="","",MIN(4,MAX(I46+G46,H46)))</f>
      </c>
      <c r="K46" s="20">
        <f>IF(J46="","",INDEX(Lists!$A$37:$A$40,J46))</f>
      </c>
      <c r="L46" s="20">
        <f>IF(J46="","",INDEX(Lists!$C$37:$C$40,J46))</f>
      </c>
      <c r="M46" s="16"/>
      <c r="N46" s="16"/>
      <c r="O46" s="16"/>
      <c r="P46" s="16"/>
      <c r="Q46" s="16"/>
      <c r="R46" s="16"/>
      <c r="S46" s="16"/>
      <c r="T46" s="16"/>
      <c r="U46" s="16"/>
      <c r="V46" s="16"/>
      <c r="W46" s="20">
        <f>IF(COUNTA(P46:U46)=0,"",IF(COUNTIF(P46:U46,"Not met")&gt;0,"Blocked",IF(COUNTIF(P46:U46,"In progress")&gt;0,"In progress",IF(COUNTA(P46:U46)&lt;6,"Incomplete","Passed"))))</f>
      </c>
      <c r="X46" s="16"/>
      <c r="Y46" s="16"/>
      <c r="Z46" s="16"/>
      <c r="AA46" s="16"/>
      <c r="AB46" s="16"/>
    </row>
    <row r="47" ht="30" customHeight="1" spans="1:28" x14ac:dyDescent="0.25">
      <c r="A47" s="20">
        <f>IF(Register!A47="","",Register!A47)</f>
      </c>
      <c r="B47" s="20">
        <f>IF(Register!C47="","",Register!C47)</f>
      </c>
      <c r="C47" s="20">
        <f>IF('Eight questions'!O47="","",'Eight questions'!O47)</f>
      </c>
      <c r="D47" s="20">
        <f>IF('Eight questions'!F47="","",'Eight questions'!F47)</f>
      </c>
      <c r="E47" s="20">
        <f>IF(D47="","",IF(VALUE(LEFT(D47,1))&lt;=2,"1-2",IF(VALUE(LEFT(D47,1))=3,"3","4-5")))</f>
      </c>
      <c r="F47" s="20">
        <f>IF(OR(C47="",E47=""),"",INDEX(Lists!$B$32:$D$34,MATCH(C47,Lists!$A$32:$A$34,0),MATCH(E47,Lists!$B$31:$D$31,0)))</f>
      </c>
      <c r="G47" s="31">
        <f>IF(F47="","",IF('Eight questions'!P47="A person is affected",1,0))</f>
      </c>
      <c r="H47" s="31">
        <f>IF(F47="","",IF('Eight questions'!J47="Regulated",3,1))</f>
      </c>
      <c r="I47" s="31">
        <f>IF(F47="","",MATCH(F47,Lists!$A$37:$A$40,0))</f>
      </c>
      <c r="J47" s="31">
        <f>IF(I47="","",MIN(4,MAX(I47+G47,H47)))</f>
      </c>
      <c r="K47" s="20">
        <f>IF(J47="","",INDEX(Lists!$A$37:$A$40,J47))</f>
      </c>
      <c r="L47" s="20">
        <f>IF(J47="","",INDEX(Lists!$C$37:$C$40,J47))</f>
      </c>
      <c r="M47" s="16"/>
      <c r="N47" s="16"/>
      <c r="O47" s="16"/>
      <c r="P47" s="16"/>
      <c r="Q47" s="16"/>
      <c r="R47" s="16"/>
      <c r="S47" s="16"/>
      <c r="T47" s="16"/>
      <c r="U47" s="16"/>
      <c r="V47" s="16"/>
      <c r="W47" s="20">
        <f>IF(COUNTA(P47:U47)=0,"",IF(COUNTIF(P47:U47,"Not met")&gt;0,"Blocked",IF(COUNTIF(P47:U47,"In progress")&gt;0,"In progress",IF(COUNTA(P47:U47)&lt;6,"Incomplete","Passed"))))</f>
      </c>
      <c r="X47" s="16"/>
      <c r="Y47" s="16"/>
      <c r="Z47" s="16"/>
      <c r="AA47" s="16"/>
      <c r="AB47" s="16"/>
    </row>
    <row r="48" ht="30" customHeight="1" spans="1:28" x14ac:dyDescent="0.25">
      <c r="A48" s="20">
        <f>IF(Register!A48="","",Register!A48)</f>
      </c>
      <c r="B48" s="20">
        <f>IF(Register!C48="","",Register!C48)</f>
      </c>
      <c r="C48" s="20">
        <f>IF('Eight questions'!O48="","",'Eight questions'!O48)</f>
      </c>
      <c r="D48" s="20">
        <f>IF('Eight questions'!F48="","",'Eight questions'!F48)</f>
      </c>
      <c r="E48" s="20">
        <f>IF(D48="","",IF(VALUE(LEFT(D48,1))&lt;=2,"1-2",IF(VALUE(LEFT(D48,1))=3,"3","4-5")))</f>
      </c>
      <c r="F48" s="20">
        <f>IF(OR(C48="",E48=""),"",INDEX(Lists!$B$32:$D$34,MATCH(C48,Lists!$A$32:$A$34,0),MATCH(E48,Lists!$B$31:$D$31,0)))</f>
      </c>
      <c r="G48" s="31">
        <f>IF(F48="","",IF('Eight questions'!P48="A person is affected",1,0))</f>
      </c>
      <c r="H48" s="31">
        <f>IF(F48="","",IF('Eight questions'!J48="Regulated",3,1))</f>
      </c>
      <c r="I48" s="31">
        <f>IF(F48="","",MATCH(F48,Lists!$A$37:$A$40,0))</f>
      </c>
      <c r="J48" s="31">
        <f>IF(I48="","",MIN(4,MAX(I48+G48,H48)))</f>
      </c>
      <c r="K48" s="20">
        <f>IF(J48="","",INDEX(Lists!$A$37:$A$40,J48))</f>
      </c>
      <c r="L48" s="20">
        <f>IF(J48="","",INDEX(Lists!$C$37:$C$40,J48))</f>
      </c>
      <c r="M48" s="16"/>
      <c r="N48" s="16"/>
      <c r="O48" s="16"/>
      <c r="P48" s="16"/>
      <c r="Q48" s="16"/>
      <c r="R48" s="16"/>
      <c r="S48" s="16"/>
      <c r="T48" s="16"/>
      <c r="U48" s="16"/>
      <c r="V48" s="16"/>
      <c r="W48" s="20">
        <f>IF(COUNTA(P48:U48)=0,"",IF(COUNTIF(P48:U48,"Not met")&gt;0,"Blocked",IF(COUNTIF(P48:U48,"In progress")&gt;0,"In progress",IF(COUNTA(P48:U48)&lt;6,"Incomplete","Passed"))))</f>
      </c>
      <c r="X48" s="16"/>
      <c r="Y48" s="16"/>
      <c r="Z48" s="16"/>
      <c r="AA48" s="16"/>
      <c r="AB48" s="16"/>
    </row>
    <row r="49" ht="30" customHeight="1" spans="1:28" x14ac:dyDescent="0.25">
      <c r="A49" s="20">
        <f>IF(Register!A49="","",Register!A49)</f>
      </c>
      <c r="B49" s="20">
        <f>IF(Register!C49="","",Register!C49)</f>
      </c>
      <c r="C49" s="20">
        <f>IF('Eight questions'!O49="","",'Eight questions'!O49)</f>
      </c>
      <c r="D49" s="20">
        <f>IF('Eight questions'!F49="","",'Eight questions'!F49)</f>
      </c>
      <c r="E49" s="20">
        <f>IF(D49="","",IF(VALUE(LEFT(D49,1))&lt;=2,"1-2",IF(VALUE(LEFT(D49,1))=3,"3","4-5")))</f>
      </c>
      <c r="F49" s="20">
        <f>IF(OR(C49="",E49=""),"",INDEX(Lists!$B$32:$D$34,MATCH(C49,Lists!$A$32:$A$34,0),MATCH(E49,Lists!$B$31:$D$31,0)))</f>
      </c>
      <c r="G49" s="31">
        <f>IF(F49="","",IF('Eight questions'!P49="A person is affected",1,0))</f>
      </c>
      <c r="H49" s="31">
        <f>IF(F49="","",IF('Eight questions'!J49="Regulated",3,1))</f>
      </c>
      <c r="I49" s="31">
        <f>IF(F49="","",MATCH(F49,Lists!$A$37:$A$40,0))</f>
      </c>
      <c r="J49" s="31">
        <f>IF(I49="","",MIN(4,MAX(I49+G49,H49)))</f>
      </c>
      <c r="K49" s="20">
        <f>IF(J49="","",INDEX(Lists!$A$37:$A$40,J49))</f>
      </c>
      <c r="L49" s="20">
        <f>IF(J49="","",INDEX(Lists!$C$37:$C$40,J49))</f>
      </c>
      <c r="M49" s="16"/>
      <c r="N49" s="16"/>
      <c r="O49" s="16"/>
      <c r="P49" s="16"/>
      <c r="Q49" s="16"/>
      <c r="R49" s="16"/>
      <c r="S49" s="16"/>
      <c r="T49" s="16"/>
      <c r="U49" s="16"/>
      <c r="V49" s="16"/>
      <c r="W49" s="20">
        <f>IF(COUNTA(P49:U49)=0,"",IF(COUNTIF(P49:U49,"Not met")&gt;0,"Blocked",IF(COUNTIF(P49:U49,"In progress")&gt;0,"In progress",IF(COUNTA(P49:U49)&lt;6,"Incomplete","Passed"))))</f>
      </c>
      <c r="X49" s="16"/>
      <c r="Y49" s="16"/>
      <c r="Z49" s="16"/>
      <c r="AA49" s="16"/>
      <c r="AB49" s="16"/>
    </row>
    <row r="50" ht="30" customHeight="1" spans="1:28" x14ac:dyDescent="0.25">
      <c r="A50" s="20">
        <f>IF(Register!A50="","",Register!A50)</f>
      </c>
      <c r="B50" s="20">
        <f>IF(Register!C50="","",Register!C50)</f>
      </c>
      <c r="C50" s="20">
        <f>IF('Eight questions'!O50="","",'Eight questions'!O50)</f>
      </c>
      <c r="D50" s="20">
        <f>IF('Eight questions'!F50="","",'Eight questions'!F50)</f>
      </c>
      <c r="E50" s="20">
        <f>IF(D50="","",IF(VALUE(LEFT(D50,1))&lt;=2,"1-2",IF(VALUE(LEFT(D50,1))=3,"3","4-5")))</f>
      </c>
      <c r="F50" s="20">
        <f>IF(OR(C50="",E50=""),"",INDEX(Lists!$B$32:$D$34,MATCH(C50,Lists!$A$32:$A$34,0),MATCH(E50,Lists!$B$31:$D$31,0)))</f>
      </c>
      <c r="G50" s="31">
        <f>IF(F50="","",IF('Eight questions'!P50="A person is affected",1,0))</f>
      </c>
      <c r="H50" s="31">
        <f>IF(F50="","",IF('Eight questions'!J50="Regulated",3,1))</f>
      </c>
      <c r="I50" s="31">
        <f>IF(F50="","",MATCH(F50,Lists!$A$37:$A$40,0))</f>
      </c>
      <c r="J50" s="31">
        <f>IF(I50="","",MIN(4,MAX(I50+G50,H50)))</f>
      </c>
      <c r="K50" s="20">
        <f>IF(J50="","",INDEX(Lists!$A$37:$A$40,J50))</f>
      </c>
      <c r="L50" s="20">
        <f>IF(J50="","",INDEX(Lists!$C$37:$C$40,J50))</f>
      </c>
      <c r="M50" s="16"/>
      <c r="N50" s="16"/>
      <c r="O50" s="16"/>
      <c r="P50" s="16"/>
      <c r="Q50" s="16"/>
      <c r="R50" s="16"/>
      <c r="S50" s="16"/>
      <c r="T50" s="16"/>
      <c r="U50" s="16"/>
      <c r="V50" s="16"/>
      <c r="W50" s="20">
        <f>IF(COUNTA(P50:U50)=0,"",IF(COUNTIF(P50:U50,"Not met")&gt;0,"Blocked",IF(COUNTIF(P50:U50,"In progress")&gt;0,"In progress",IF(COUNTA(P50:U50)&lt;6,"Incomplete","Passed"))))</f>
      </c>
      <c r="X50" s="16"/>
      <c r="Y50" s="16"/>
      <c r="Z50" s="16"/>
      <c r="AA50" s="16"/>
      <c r="AB50" s="16"/>
    </row>
    <row r="51" ht="30" customHeight="1" spans="1:28" x14ac:dyDescent="0.25">
      <c r="A51" s="20">
        <f>IF(Register!A51="","",Register!A51)</f>
      </c>
      <c r="B51" s="20">
        <f>IF(Register!C51="","",Register!C51)</f>
      </c>
      <c r="C51" s="20">
        <f>IF('Eight questions'!O51="","",'Eight questions'!O51)</f>
      </c>
      <c r="D51" s="20">
        <f>IF('Eight questions'!F51="","",'Eight questions'!F51)</f>
      </c>
      <c r="E51" s="20">
        <f>IF(D51="","",IF(VALUE(LEFT(D51,1))&lt;=2,"1-2",IF(VALUE(LEFT(D51,1))=3,"3","4-5")))</f>
      </c>
      <c r="F51" s="20">
        <f>IF(OR(C51="",E51=""),"",INDEX(Lists!$B$32:$D$34,MATCH(C51,Lists!$A$32:$A$34,0),MATCH(E51,Lists!$B$31:$D$31,0)))</f>
      </c>
      <c r="G51" s="31">
        <f>IF(F51="","",IF('Eight questions'!P51="A person is affected",1,0))</f>
      </c>
      <c r="H51" s="31">
        <f>IF(F51="","",IF('Eight questions'!J51="Regulated",3,1))</f>
      </c>
      <c r="I51" s="31">
        <f>IF(F51="","",MATCH(F51,Lists!$A$37:$A$40,0))</f>
      </c>
      <c r="J51" s="31">
        <f>IF(I51="","",MIN(4,MAX(I51+G51,H51)))</f>
      </c>
      <c r="K51" s="20">
        <f>IF(J51="","",INDEX(Lists!$A$37:$A$40,J51))</f>
      </c>
      <c r="L51" s="20">
        <f>IF(J51="","",INDEX(Lists!$C$37:$C$40,J51))</f>
      </c>
      <c r="M51" s="16"/>
      <c r="N51" s="16"/>
      <c r="O51" s="16"/>
      <c r="P51" s="16"/>
      <c r="Q51" s="16"/>
      <c r="R51" s="16"/>
      <c r="S51" s="16"/>
      <c r="T51" s="16"/>
      <c r="U51" s="16"/>
      <c r="V51" s="16"/>
      <c r="W51" s="20">
        <f>IF(COUNTA(P51:U51)=0,"",IF(COUNTIF(P51:U51,"Not met")&gt;0,"Blocked",IF(COUNTIF(P51:U51,"In progress")&gt;0,"In progress",IF(COUNTA(P51:U51)&lt;6,"Incomplete","Passed"))))</f>
      </c>
      <c r="X51" s="16"/>
      <c r="Y51" s="16"/>
      <c r="Z51" s="16"/>
      <c r="AA51" s="16"/>
      <c r="AB51" s="16"/>
    </row>
    <row r="52" ht="30" customHeight="1" spans="1:28" x14ac:dyDescent="0.25">
      <c r="A52" s="20">
        <f>IF(Register!A52="","",Register!A52)</f>
      </c>
      <c r="B52" s="20">
        <f>IF(Register!C52="","",Register!C52)</f>
      </c>
      <c r="C52" s="20">
        <f>IF('Eight questions'!O52="","",'Eight questions'!O52)</f>
      </c>
      <c r="D52" s="20">
        <f>IF('Eight questions'!F52="","",'Eight questions'!F52)</f>
      </c>
      <c r="E52" s="20">
        <f>IF(D52="","",IF(VALUE(LEFT(D52,1))&lt;=2,"1-2",IF(VALUE(LEFT(D52,1))=3,"3","4-5")))</f>
      </c>
      <c r="F52" s="20">
        <f>IF(OR(C52="",E52=""),"",INDEX(Lists!$B$32:$D$34,MATCH(C52,Lists!$A$32:$A$34,0),MATCH(E52,Lists!$B$31:$D$31,0)))</f>
      </c>
      <c r="G52" s="31">
        <f>IF(F52="","",IF('Eight questions'!P52="A person is affected",1,0))</f>
      </c>
      <c r="H52" s="31">
        <f>IF(F52="","",IF('Eight questions'!J52="Regulated",3,1))</f>
      </c>
      <c r="I52" s="31">
        <f>IF(F52="","",MATCH(F52,Lists!$A$37:$A$40,0))</f>
      </c>
      <c r="J52" s="31">
        <f>IF(I52="","",MIN(4,MAX(I52+G52,H52)))</f>
      </c>
      <c r="K52" s="20">
        <f>IF(J52="","",INDEX(Lists!$A$37:$A$40,J52))</f>
      </c>
      <c r="L52" s="20">
        <f>IF(J52="","",INDEX(Lists!$C$37:$C$40,J52))</f>
      </c>
      <c r="M52" s="16"/>
      <c r="N52" s="16"/>
      <c r="O52" s="16"/>
      <c r="P52" s="16"/>
      <c r="Q52" s="16"/>
      <c r="R52" s="16"/>
      <c r="S52" s="16"/>
      <c r="T52" s="16"/>
      <c r="U52" s="16"/>
      <c r="V52" s="16"/>
      <c r="W52" s="20">
        <f>IF(COUNTA(P52:U52)=0,"",IF(COUNTIF(P52:U52,"Not met")&gt;0,"Blocked",IF(COUNTIF(P52:U52,"In progress")&gt;0,"In progress",IF(COUNTA(P52:U52)&lt;6,"Incomplete","Passed"))))</f>
      </c>
      <c r="X52" s="16"/>
      <c r="Y52" s="16"/>
      <c r="Z52" s="16"/>
      <c r="AA52" s="16"/>
      <c r="AB52" s="16"/>
    </row>
  </sheetData>
  <autoFilter ref="A2:AB52"/>
  <mergeCells count="4">
    <mergeCell ref="A1:B1"/>
    <mergeCell ref="C1:O1"/>
    <mergeCell ref="P1:W1"/>
    <mergeCell ref="X1:AB1"/>
  </mergeCells>
  <conditionalFormatting sqref="K3:K52">
    <cfRule type="containsText" dxfId="3" priority="1">
      <formula>NOT(ISERROR(SEARCH("Full assurance",K3)))</formula>
    </cfRule>
    <cfRule type="containsText" dxfId="4" priority="2">
      <formula>NOT(ISERROR(SEARCH("Controlled pilot",K3)))</formula>
    </cfRule>
    <cfRule type="containsText" dxfId="5" priority="3">
      <formula>NOT(ISERROR(SEARCH("Light touch",K3)))</formula>
    </cfRule>
  </conditionalFormatting>
  <conditionalFormatting sqref="W3:W52">
    <cfRule type="containsText" dxfId="6" priority="1">
      <formula>NOT(ISERROR(SEARCH("Blocked",W3)))</formula>
    </cfRule>
    <cfRule type="containsText" dxfId="7" priority="2">
      <formula>NOT(ISERROR(SEARCH("Passed",W3)))</formula>
    </cfRule>
    <cfRule type="containsText" dxfId="8" priority="3">
      <formula>NOT(ISERROR(SEARCH("In progress",W3)))</formula>
    </cfRule>
  </conditionalFormatting>
  <dataValidations count="8">
    <dataValidation type="list" allowBlank="1" sqref="AA10:AA52">
      <formula1>Lists!$M$3:$M$5</formula1>
    </dataValidation>
    <dataValidation type="list" allowBlank="1" sqref="AA3:AA52">
      <formula1>Lists!$M$3:$M$5</formula1>
    </dataValidation>
    <dataValidation type="list" allowBlank="1" sqref="O10:O52">
      <formula1>Lists!$M$3:$M$5</formula1>
    </dataValidation>
    <dataValidation type="list" allowBlank="1" sqref="O3:O52">
      <formula1>Lists!$M$3:$M$5</formula1>
    </dataValidation>
    <dataValidation type="list" allowBlank="1" sqref="P10:U52">
      <formula1>Lists!$R$3:$R$6</formula1>
    </dataValidation>
    <dataValidation type="list" allowBlank="1" sqref="P3:U52">
      <formula1>Lists!$R$3:$R$6</formula1>
    </dataValidation>
    <dataValidation type="list" allowBlank="1" sqref="X10:AA52">
      <formula1>Lists!$M$3:$M$5</formula1>
    </dataValidation>
    <dataValidation type="list" allowBlank="1" sqref="X3:AA52">
      <formula1>Lists!$M$3:$M$5</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575"/>
  </sheetPr>
  <dimension ref="A1:S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3" width="16" customWidth="1"/>
    <col min="4" max="4" width="15" customWidth="1"/>
    <col min="5" max="5" width="42" customWidth="1"/>
    <col min="6" max="7" width="13" customWidth="1"/>
    <col min="8" max="8" width="26" customWidth="1"/>
    <col min="9" max="9" width="40" customWidth="1"/>
    <col min="10" max="10" width="24" customWidth="1"/>
    <col min="11" max="11" width="12" customWidth="1"/>
    <col min="12" max="13" width="13" customWidth="1"/>
    <col min="14" max="14" width="14" customWidth="1"/>
    <col min="15" max="15" width="13" customWidth="1"/>
    <col min="16" max="16" width="22" customWidth="1"/>
    <col min="17" max="17" width="20" customWidth="1"/>
    <col min="18" max="19" width="18" customWidth="1"/>
  </cols>
  <sheetData>
    <row r="1" ht="20" customHeight="1" spans="1:19" x14ac:dyDescent="0.25">
      <c r="A1" s="11" t="s">
        <v>331</v>
      </c>
      <c r="B1" s="11"/>
      <c r="C1" s="22" t="s">
        <v>444</v>
      </c>
      <c r="D1" s="22"/>
      <c r="E1" s="22"/>
      <c r="F1" s="13" t="s">
        <v>445</v>
      </c>
      <c r="G1" s="13"/>
      <c r="H1" s="13"/>
      <c r="I1" s="13"/>
      <c r="J1" s="13"/>
      <c r="K1" s="13"/>
      <c r="L1" s="12" t="s">
        <v>446</v>
      </c>
      <c r="M1" s="12"/>
      <c r="N1" s="12"/>
      <c r="O1" s="12"/>
      <c r="P1" s="28" t="s">
        <v>447</v>
      </c>
      <c r="Q1" s="28"/>
      <c r="R1" s="28"/>
      <c r="S1" s="28"/>
    </row>
    <row r="2" ht="48" customHeight="1" spans="1:19" x14ac:dyDescent="0.25">
      <c r="A2" s="15" t="s">
        <v>296</v>
      </c>
      <c r="B2" s="15" t="s">
        <v>335</v>
      </c>
      <c r="C2" s="15" t="s">
        <v>448</v>
      </c>
      <c r="D2" s="15" t="s">
        <v>449</v>
      </c>
      <c r="E2" s="15" t="s">
        <v>450</v>
      </c>
      <c r="F2" s="15" t="s">
        <v>451</v>
      </c>
      <c r="G2" s="15" t="s">
        <v>452</v>
      </c>
      <c r="H2" s="15" t="s">
        <v>132</v>
      </c>
      <c r="I2" s="15" t="s">
        <v>133</v>
      </c>
      <c r="J2" s="15" t="s">
        <v>453</v>
      </c>
      <c r="K2" s="15" t="s">
        <v>454</v>
      </c>
      <c r="L2" s="15" t="s">
        <v>455</v>
      </c>
      <c r="M2" s="15" t="s">
        <v>456</v>
      </c>
      <c r="N2" s="15" t="s">
        <v>457</v>
      </c>
      <c r="O2" s="15" t="s">
        <v>458</v>
      </c>
      <c r="P2" s="15" t="s">
        <v>459</v>
      </c>
      <c r="Q2" s="15" t="s">
        <v>460</v>
      </c>
      <c r="R2" s="15" t="s">
        <v>461</v>
      </c>
      <c r="S2" s="15" t="s">
        <v>20</v>
      </c>
    </row>
    <row r="3" ht="30" customHeight="1" spans="1:19" x14ac:dyDescent="0.25">
      <c r="A3" s="20">
        <f>IF(Register!A3="","",Register!A3)</f>
      </c>
      <c r="B3" s="20">
        <f>IF(Register!C3="","",Register!C3)</f>
      </c>
      <c r="C3" s="20">
        <f>IF(IF(Register!U3="",Register!T3,Register!U3)="","",IF(OR(IF(Register!U3="",Register!T3,Register!U3)="Automation",IF(Register!U3="",Register!T3,Register!U3)="Predictive or optimisation"),"1 Not AI",IF(OR('Eight questions'!J3="Regulated",'Eight questions'!O3="Real-world effect",'Assurance and gate'!J3=4),"4 Pro-code",IF(AND('Eight questions'!Q3="Yes",OR('Eight questions'!L3="Nothing",'Eight questions'!L3="Static documents"),'Assurance and gate'!J3&lt;=2),"2 Ready-made","3 Low-code"))))</f>
      </c>
      <c r="D3" s="16" t="s">
        <v>62</v>
      </c>
      <c r="E3" s="20">
        <f>IF(IF(D3="",C3,D3)="","",IF(IF(D3="",C3,D3)="1 Not AI","Not AI. Automation platform for fixed rules; Fabric data science or Azure ML for forecasting, scoring and matching.",IF(IF(D3="",C3,D3)="4 Pro-code","Assurance read before category: regulated data, a real-world effect or a full assurance tier escalates the direction regardless of how simple the category looked.",IF(IF(D3="",C3,D3)="2 Ready-made","A published agent covers the function. Adopt and configure. Capped at retrieval and task.",IF(IF(D3="",C3,D3)="3 Low-code","Low-code with governed connectors and built-in responsible AI. Low-code supports autonomous agents - do not climb a rung you do not need.","Full stack control. Only when compliance or customisation demands it.")))))</f>
      </c>
      <c r="F3" s="20">
        <f>IF('Eight questions'!C3="","",IF(OR('Eight questions'!C3="A system event",'Eight questions'!C3="A schedule",'Eight questions'!C3="Another agent"),"Monitor",IF(OR('Eight questions'!F3="4 Enterprise",'Eight questions'!F3="5 External",'Eight questions'!J3="Regulated",'Eight questions'!O3="Real-world effect"),"Build",IF(AND('Eight questions'!C3="A person is already working",'Eight questions'!D3="Inside the tool they have open",'Eight questions'!O3="Read only"),"Assist",IF('Eight questions'!L3="Take an action","Delegate",IF('Eight questions'!O3="Writes to a system","Control",IF('Eight questions'!L3="Static documents","Specialize","Adapt")))))))</f>
      </c>
      <c r="G3" s="16" t="s">
        <v>94</v>
      </c>
      <c r="H3" s="20">
        <f>IF(IF(G3="",F3,G3)="","",INDEX(Lists!$B$43:$B$50,MATCH(IF(G3="",F3,G3),Lists!$A$43:$A$50,0)))</f>
      </c>
      <c r="I3" s="20">
        <f>IF(IF(G3="",F3,G3)="","",INDEX(Lists!$C$43:$C$50,MATCH(IF(G3="",F3,G3),Lists!$A$43:$A$50,0)))</f>
      </c>
      <c r="J3" s="16" t="s">
        <v>462</v>
      </c>
      <c r="K3" s="17">
        <v>46272.58333333333</v>
      </c>
      <c r="L3" s="20">
        <f>IF('Eight questions'!E3="","",IF('Eight questions'!E3="Must work offline","Yes - rules out anything cloud-only",IF('Eight questions'!E3="Intermittent","Partly - needs offline tolerance","No")))</f>
      </c>
      <c r="M3" s="20">
        <f>IF('Eight questions'!C3="","",IF(OR('Eight questions'!C3="A schedule",'Eight questions'!C3="A system event"),"Yes - rules out anything needing an interactive session","No"))</f>
      </c>
      <c r="N3" s="20">
        <f>IF('Eight questions'!J3="","",IF(OR('Eight questions'!J3="Regulated",'Eight questions'!J3="Confidential"),"Yes - private networking, a stated data location, or local inference","No"))</f>
      </c>
      <c r="O3" s="20">
        <f>IF(OR('Eight questions'!F3="",'Eight questions'!G3=""),"",IF(VALUE(LEFT('Eight questions'!F3,1))&gt;VALUE(LEFT('Eight questions'!G3,1)),"Yes - intended reach exceeds pilot reach","No"))</f>
      </c>
      <c r="P3" s="16" t="s">
        <v>43</v>
      </c>
      <c r="Q3" s="16" t="s">
        <v>463</v>
      </c>
      <c r="R3" s="20">
        <f>IF('Eight questions'!S3="","",IF('Eight questions'!S3="Yes","Persistent (advisory)","Ephemeral session (transactional)"))</f>
      </c>
      <c r="S3" s="16" t="s">
        <v>63</v>
      </c>
    </row>
    <row r="4" ht="30" customHeight="1" spans="1:19" x14ac:dyDescent="0.25">
      <c r="A4" s="20">
        <f>IF(Register!A4="","",Register!A4)</f>
      </c>
      <c r="B4" s="20">
        <f>IF(Register!C4="","",Register!C4)</f>
      </c>
      <c r="C4" s="20">
        <f>IF(IF(Register!U4="",Register!T4,Register!U4)="","",IF(OR(IF(Register!U4="",Register!T4,Register!U4)="Automation",IF(Register!U4="",Register!T4,Register!U4)="Predictive or optimisation"),"1 Not AI",IF(OR('Eight questions'!J4="Regulated",'Eight questions'!O4="Real-world effect",'Assurance and gate'!J4=4),"4 Pro-code",IF(AND('Eight questions'!Q4="Yes",OR('Eight questions'!L4="Nothing",'Eight questions'!L4="Static documents"),'Assurance and gate'!J4&lt;=2),"2 Ready-made","3 Low-code"))))</f>
      </c>
      <c r="D4" s="16" t="s">
        <v>96</v>
      </c>
      <c r="E4" s="20">
        <f>IF(IF(D4="",C4,D4)="","",IF(IF(D4="",C4,D4)="1 Not AI","Not AI. Automation platform for fixed rules; Fabric data science or Azure ML for forecasting, scoring and matching.",IF(IF(D4="",C4,D4)="4 Pro-code","Assurance read before category: regulated data, a real-world effect or a full assurance tier escalates the direction regardless of how simple the category looked.",IF(IF(D4="",C4,D4)="2 Ready-made","A published agent covers the function. Adopt and configure. Capped at retrieval and task.",IF(IF(D4="",C4,D4)="3 Low-code","Low-code with governed connectors and built-in responsible AI. Low-code supports autonomous agents - do not climb a rung you do not need.","Full stack control. Only when compliance or customisation demands it.")))))</f>
      </c>
      <c r="F4" s="20">
        <f>IF('Eight questions'!C4="","",IF(OR('Eight questions'!C4="A system event",'Eight questions'!C4="A schedule",'Eight questions'!C4="Another agent"),"Monitor",IF(OR('Eight questions'!F4="4 Enterprise",'Eight questions'!F4="5 External",'Eight questions'!J4="Regulated",'Eight questions'!O4="Real-world effect"),"Build",IF(AND('Eight questions'!C4="A person is already working",'Eight questions'!D4="Inside the tool they have open",'Eight questions'!O4="Read only"),"Assist",IF('Eight questions'!L4="Take an action","Delegate",IF('Eight questions'!O4="Writes to a system","Control",IF('Eight questions'!L4="Static documents","Specialize","Adapt")))))))</f>
      </c>
      <c r="G4" s="16" t="s">
        <v>115</v>
      </c>
      <c r="H4" s="20">
        <f>IF(IF(G4="",F4,G4)="","",INDEX(Lists!$B$43:$B$50,MATCH(IF(G4="",F4,G4),Lists!$A$43:$A$50,0)))</f>
      </c>
      <c r="I4" s="20">
        <f>IF(IF(G4="",F4,G4)="","",INDEX(Lists!$C$43:$C$50,MATCH(IF(G4="",F4,G4),Lists!$A$43:$A$50,0)))</f>
      </c>
      <c r="J4" s="16" t="s">
        <v>464</v>
      </c>
      <c r="K4" s="17">
        <v>46273.58333333333</v>
      </c>
      <c r="L4" s="20">
        <f>IF('Eight questions'!E4="","",IF('Eight questions'!E4="Must work offline","Yes - rules out anything cloud-only",IF('Eight questions'!E4="Intermittent","Partly - needs offline tolerance","No")))</f>
      </c>
      <c r="M4" s="20">
        <f>IF('Eight questions'!C4="","",IF(OR('Eight questions'!C4="A schedule",'Eight questions'!C4="A system event"),"Yes - rules out anything needing an interactive session","No"))</f>
      </c>
      <c r="N4" s="20">
        <f>IF('Eight questions'!J4="","",IF(OR('Eight questions'!J4="Regulated",'Eight questions'!J4="Confidential"),"Yes - private networking, a stated data location, or local inference","No"))</f>
      </c>
      <c r="O4" s="20">
        <f>IF(OR('Eight questions'!F4="",'Eight questions'!G4=""),"",IF(VALUE(LEFT('Eight questions'!F4,1))&gt;VALUE(LEFT('Eight questions'!G4,1)),"Yes - intended reach exceeds pilot reach","No"))</f>
      </c>
      <c r="P4" s="16" t="s">
        <v>43</v>
      </c>
      <c r="Q4" s="16" t="s">
        <v>465</v>
      </c>
      <c r="R4" s="20">
        <f>IF('Eight questions'!S4="","",IF('Eight questions'!S4="Yes","Persistent (advisory)","Ephemeral session (transactional)"))</f>
      </c>
      <c r="S4" s="16" t="s">
        <v>41</v>
      </c>
    </row>
    <row r="5" ht="30" customHeight="1" spans="1:19" x14ac:dyDescent="0.25">
      <c r="A5" s="20">
        <f>IF(Register!A5="","",Register!A5)</f>
      </c>
      <c r="B5" s="20">
        <f>IF(Register!C5="","",Register!C5)</f>
      </c>
      <c r="C5" s="20">
        <f>IF(IF(Register!U5="",Register!T5,Register!U5)="","",IF(OR(IF(Register!U5="",Register!T5,Register!U5)="Automation",IF(Register!U5="",Register!T5,Register!U5)="Predictive or optimisation"),"1 Not AI",IF(OR('Eight questions'!J5="Regulated",'Eight questions'!O5="Real-world effect",'Assurance and gate'!J5=4),"4 Pro-code",IF(AND('Eight questions'!Q5="Yes",OR('Eight questions'!L5="Nothing",'Eight questions'!L5="Static documents"),'Assurance and gate'!J5&lt;=2),"2 Ready-made","3 Low-code"))))</f>
      </c>
      <c r="D5" s="16"/>
      <c r="E5" s="20">
        <f>IF(IF(D5="",C5,D5)="","",IF(IF(D5="",C5,D5)="1 Not AI","Not AI. Automation platform for fixed rules; Fabric data science or Azure ML for forecasting, scoring and matching.",IF(IF(D5="",C5,D5)="4 Pro-code","Assurance read before category: regulated data, a real-world effect or a full assurance tier escalates the direction regardless of how simple the category looked.",IF(IF(D5="",C5,D5)="2 Ready-made","A published agent covers the function. Adopt and configure. Capped at retrieval and task.",IF(IF(D5="",C5,D5)="3 Low-code","Low-code with governed connectors and built-in responsible AI. Low-code supports autonomous agents - do not climb a rung you do not need.","Full stack control. Only when compliance or customisation demands it.")))))</f>
      </c>
      <c r="F5" s="20">
        <f>IF('Eight questions'!C5="","",IF(OR('Eight questions'!C5="A system event",'Eight questions'!C5="A schedule",'Eight questions'!C5="Another agent"),"Monitor",IF(OR('Eight questions'!F5="4 Enterprise",'Eight questions'!F5="5 External",'Eight questions'!J5="Regulated",'Eight questions'!O5="Real-world effect"),"Build",IF(AND('Eight questions'!C5="A person is already working",'Eight questions'!D5="Inside the tool they have open",'Eight questions'!O5="Read only"),"Assist",IF('Eight questions'!L5="Take an action","Delegate",IF('Eight questions'!O5="Writes to a system","Control",IF('Eight questions'!L5="Static documents","Specialize","Adapt")))))))</f>
      </c>
      <c r="G5" s="16"/>
      <c r="H5" s="20">
        <f>IF(IF(G5="",F5,G5)="","",INDEX(Lists!$B$43:$B$50,MATCH(IF(G5="",F5,G5),Lists!$A$43:$A$50,0)))</f>
      </c>
      <c r="I5" s="20">
        <f>IF(IF(G5="",F5,G5)="","",INDEX(Lists!$C$43:$C$50,MATCH(IF(G5="",F5,G5),Lists!$A$43:$A$50,0)))</f>
      </c>
      <c r="J5" s="16"/>
      <c r="K5" s="17"/>
      <c r="L5" s="20">
        <f>IF('Eight questions'!E5="","",IF('Eight questions'!E5="Must work offline","Yes - rules out anything cloud-only",IF('Eight questions'!E5="Intermittent","Partly - needs offline tolerance","No")))</f>
      </c>
      <c r="M5" s="20">
        <f>IF('Eight questions'!C5="","",IF(OR('Eight questions'!C5="A schedule",'Eight questions'!C5="A system event"),"Yes - rules out anything needing an interactive session","No"))</f>
      </c>
      <c r="N5" s="20">
        <f>IF('Eight questions'!J5="","",IF(OR('Eight questions'!J5="Regulated",'Eight questions'!J5="Confidential"),"Yes - private networking, a stated data location, or local inference","No"))</f>
      </c>
      <c r="O5" s="20">
        <f>IF(OR('Eight questions'!F5="",'Eight questions'!G5=""),"",IF(VALUE(LEFT('Eight questions'!F5,1))&gt;VALUE(LEFT('Eight questions'!G5,1)),"Yes - intended reach exceeds pilot reach","No"))</f>
      </c>
      <c r="P5" s="16"/>
      <c r="Q5" s="16"/>
      <c r="R5" s="20">
        <f>IF('Eight questions'!S5="","",IF('Eight questions'!S5="Yes","Persistent (advisory)","Ephemeral session (transactional)"))</f>
      </c>
      <c r="S5" s="16"/>
    </row>
    <row r="6" ht="30" customHeight="1" spans="1:19" x14ac:dyDescent="0.25">
      <c r="A6" s="20">
        <f>IF(Register!A6="","",Register!A6)</f>
      </c>
      <c r="B6" s="20">
        <f>IF(Register!C6="","",Register!C6)</f>
      </c>
      <c r="C6" s="20">
        <f>IF(IF(Register!U6="",Register!T6,Register!U6)="","",IF(OR(IF(Register!U6="",Register!T6,Register!U6)="Automation",IF(Register!U6="",Register!T6,Register!U6)="Predictive or optimisation"),"1 Not AI",IF(OR('Eight questions'!J6="Regulated",'Eight questions'!O6="Real-world effect",'Assurance and gate'!J6=4),"4 Pro-code",IF(AND('Eight questions'!Q6="Yes",OR('Eight questions'!L6="Nothing",'Eight questions'!L6="Static documents"),'Assurance and gate'!J6&lt;=2),"2 Ready-made","3 Low-code"))))</f>
      </c>
      <c r="D6" s="16"/>
      <c r="E6" s="20">
        <f>IF(IF(D6="",C6,D6)="","",IF(IF(D6="",C6,D6)="1 Not AI","Not AI. Automation platform for fixed rules; Fabric data science or Azure ML for forecasting, scoring and matching.",IF(IF(D6="",C6,D6)="4 Pro-code","Assurance read before category: regulated data, a real-world effect or a full assurance tier escalates the direction regardless of how simple the category looked.",IF(IF(D6="",C6,D6)="2 Ready-made","A published agent covers the function. Adopt and configure. Capped at retrieval and task.",IF(IF(D6="",C6,D6)="3 Low-code","Low-code with governed connectors and built-in responsible AI. Low-code supports autonomous agents - do not climb a rung you do not need.","Full stack control. Only when compliance or customisation demands it.")))))</f>
      </c>
      <c r="F6" s="20">
        <f>IF('Eight questions'!C6="","",IF(OR('Eight questions'!C6="A system event",'Eight questions'!C6="A schedule",'Eight questions'!C6="Another agent"),"Monitor",IF(OR('Eight questions'!F6="4 Enterprise",'Eight questions'!F6="5 External",'Eight questions'!J6="Regulated",'Eight questions'!O6="Real-world effect"),"Build",IF(AND('Eight questions'!C6="A person is already working",'Eight questions'!D6="Inside the tool they have open",'Eight questions'!O6="Read only"),"Assist",IF('Eight questions'!L6="Take an action","Delegate",IF('Eight questions'!O6="Writes to a system","Control",IF('Eight questions'!L6="Static documents","Specialize","Adapt")))))))</f>
      </c>
      <c r="G6" s="16"/>
      <c r="H6" s="20">
        <f>IF(IF(G6="",F6,G6)="","",INDEX(Lists!$B$43:$B$50,MATCH(IF(G6="",F6,G6),Lists!$A$43:$A$50,0)))</f>
      </c>
      <c r="I6" s="20">
        <f>IF(IF(G6="",F6,G6)="","",INDEX(Lists!$C$43:$C$50,MATCH(IF(G6="",F6,G6),Lists!$A$43:$A$50,0)))</f>
      </c>
      <c r="J6" s="16"/>
      <c r="K6" s="17"/>
      <c r="L6" s="20">
        <f>IF('Eight questions'!E6="","",IF('Eight questions'!E6="Must work offline","Yes - rules out anything cloud-only",IF('Eight questions'!E6="Intermittent","Partly - needs offline tolerance","No")))</f>
      </c>
      <c r="M6" s="20">
        <f>IF('Eight questions'!C6="","",IF(OR('Eight questions'!C6="A schedule",'Eight questions'!C6="A system event"),"Yes - rules out anything needing an interactive session","No"))</f>
      </c>
      <c r="N6" s="20">
        <f>IF('Eight questions'!J6="","",IF(OR('Eight questions'!J6="Regulated",'Eight questions'!J6="Confidential"),"Yes - private networking, a stated data location, or local inference","No"))</f>
      </c>
      <c r="O6" s="20">
        <f>IF(OR('Eight questions'!F6="",'Eight questions'!G6=""),"",IF(VALUE(LEFT('Eight questions'!F6,1))&gt;VALUE(LEFT('Eight questions'!G6,1)),"Yes - intended reach exceeds pilot reach","No"))</f>
      </c>
      <c r="P6" s="16"/>
      <c r="Q6" s="16"/>
      <c r="R6" s="20">
        <f>IF('Eight questions'!S6="","",IF('Eight questions'!S6="Yes","Persistent (advisory)","Ephemeral session (transactional)"))</f>
      </c>
      <c r="S6" s="16"/>
    </row>
    <row r="7" ht="30" customHeight="1" spans="1:19" x14ac:dyDescent="0.25">
      <c r="A7" s="20">
        <f>IF(Register!A7="","",Register!A7)</f>
      </c>
      <c r="B7" s="20">
        <f>IF(Register!C7="","",Register!C7)</f>
      </c>
      <c r="C7" s="20">
        <f>IF(IF(Register!U7="",Register!T7,Register!U7)="","",IF(OR(IF(Register!U7="",Register!T7,Register!U7)="Automation",IF(Register!U7="",Register!T7,Register!U7)="Predictive or optimisation"),"1 Not AI",IF(OR('Eight questions'!J7="Regulated",'Eight questions'!O7="Real-world effect",'Assurance and gate'!J7=4),"4 Pro-code",IF(AND('Eight questions'!Q7="Yes",OR('Eight questions'!L7="Nothing",'Eight questions'!L7="Static documents"),'Assurance and gate'!J7&lt;=2),"2 Ready-made","3 Low-code"))))</f>
      </c>
      <c r="D7" s="16"/>
      <c r="E7" s="20">
        <f>IF(IF(D7="",C7,D7)="","",IF(IF(D7="",C7,D7)="1 Not AI","Not AI. Automation platform for fixed rules; Fabric data science or Azure ML for forecasting, scoring and matching.",IF(IF(D7="",C7,D7)="4 Pro-code","Assurance read before category: regulated data, a real-world effect or a full assurance tier escalates the direction regardless of how simple the category looked.",IF(IF(D7="",C7,D7)="2 Ready-made","A published agent covers the function. Adopt and configure. Capped at retrieval and task.",IF(IF(D7="",C7,D7)="3 Low-code","Low-code with governed connectors and built-in responsible AI. Low-code supports autonomous agents - do not climb a rung you do not need.","Full stack control. Only when compliance or customisation demands it.")))))</f>
      </c>
      <c r="F7" s="20">
        <f>IF('Eight questions'!C7="","",IF(OR('Eight questions'!C7="A system event",'Eight questions'!C7="A schedule",'Eight questions'!C7="Another agent"),"Monitor",IF(OR('Eight questions'!F7="4 Enterprise",'Eight questions'!F7="5 External",'Eight questions'!J7="Regulated",'Eight questions'!O7="Real-world effect"),"Build",IF(AND('Eight questions'!C7="A person is already working",'Eight questions'!D7="Inside the tool they have open",'Eight questions'!O7="Read only"),"Assist",IF('Eight questions'!L7="Take an action","Delegate",IF('Eight questions'!O7="Writes to a system","Control",IF('Eight questions'!L7="Static documents","Specialize","Adapt")))))))</f>
      </c>
      <c r="G7" s="16"/>
      <c r="H7" s="20">
        <f>IF(IF(G7="",F7,G7)="","",INDEX(Lists!$B$43:$B$50,MATCH(IF(G7="",F7,G7),Lists!$A$43:$A$50,0)))</f>
      </c>
      <c r="I7" s="20">
        <f>IF(IF(G7="",F7,G7)="","",INDEX(Lists!$C$43:$C$50,MATCH(IF(G7="",F7,G7),Lists!$A$43:$A$50,0)))</f>
      </c>
      <c r="J7" s="16"/>
      <c r="K7" s="17"/>
      <c r="L7" s="20">
        <f>IF('Eight questions'!E7="","",IF('Eight questions'!E7="Must work offline","Yes - rules out anything cloud-only",IF('Eight questions'!E7="Intermittent","Partly - needs offline tolerance","No")))</f>
      </c>
      <c r="M7" s="20">
        <f>IF('Eight questions'!C7="","",IF(OR('Eight questions'!C7="A schedule",'Eight questions'!C7="A system event"),"Yes - rules out anything needing an interactive session","No"))</f>
      </c>
      <c r="N7" s="20">
        <f>IF('Eight questions'!J7="","",IF(OR('Eight questions'!J7="Regulated",'Eight questions'!J7="Confidential"),"Yes - private networking, a stated data location, or local inference","No"))</f>
      </c>
      <c r="O7" s="20">
        <f>IF(OR('Eight questions'!F7="",'Eight questions'!G7=""),"",IF(VALUE(LEFT('Eight questions'!F7,1))&gt;VALUE(LEFT('Eight questions'!G7,1)),"Yes - intended reach exceeds pilot reach","No"))</f>
      </c>
      <c r="P7" s="16"/>
      <c r="Q7" s="16"/>
      <c r="R7" s="20">
        <f>IF('Eight questions'!S7="","",IF('Eight questions'!S7="Yes","Persistent (advisory)","Ephemeral session (transactional)"))</f>
      </c>
      <c r="S7" s="16"/>
    </row>
    <row r="8" ht="30" customHeight="1" spans="1:19" x14ac:dyDescent="0.25">
      <c r="A8" s="20">
        <f>IF(Register!A8="","",Register!A8)</f>
      </c>
      <c r="B8" s="20">
        <f>IF(Register!C8="","",Register!C8)</f>
      </c>
      <c r="C8" s="20">
        <f>IF(IF(Register!U8="",Register!T8,Register!U8)="","",IF(OR(IF(Register!U8="",Register!T8,Register!U8)="Automation",IF(Register!U8="",Register!T8,Register!U8)="Predictive or optimisation"),"1 Not AI",IF(OR('Eight questions'!J8="Regulated",'Eight questions'!O8="Real-world effect",'Assurance and gate'!J8=4),"4 Pro-code",IF(AND('Eight questions'!Q8="Yes",OR('Eight questions'!L8="Nothing",'Eight questions'!L8="Static documents"),'Assurance and gate'!J8&lt;=2),"2 Ready-made","3 Low-code"))))</f>
      </c>
      <c r="D8" s="16"/>
      <c r="E8" s="20">
        <f>IF(IF(D8="",C8,D8)="","",IF(IF(D8="",C8,D8)="1 Not AI","Not AI. Automation platform for fixed rules; Fabric data science or Azure ML for forecasting, scoring and matching.",IF(IF(D8="",C8,D8)="4 Pro-code","Assurance read before category: regulated data, a real-world effect or a full assurance tier escalates the direction regardless of how simple the category looked.",IF(IF(D8="",C8,D8)="2 Ready-made","A published agent covers the function. Adopt and configure. Capped at retrieval and task.",IF(IF(D8="",C8,D8)="3 Low-code","Low-code with governed connectors and built-in responsible AI. Low-code supports autonomous agents - do not climb a rung you do not need.","Full stack control. Only when compliance or customisation demands it.")))))</f>
      </c>
      <c r="F8" s="20">
        <f>IF('Eight questions'!C8="","",IF(OR('Eight questions'!C8="A system event",'Eight questions'!C8="A schedule",'Eight questions'!C8="Another agent"),"Monitor",IF(OR('Eight questions'!F8="4 Enterprise",'Eight questions'!F8="5 External",'Eight questions'!J8="Regulated",'Eight questions'!O8="Real-world effect"),"Build",IF(AND('Eight questions'!C8="A person is already working",'Eight questions'!D8="Inside the tool they have open",'Eight questions'!O8="Read only"),"Assist",IF('Eight questions'!L8="Take an action","Delegate",IF('Eight questions'!O8="Writes to a system","Control",IF('Eight questions'!L8="Static documents","Specialize","Adapt")))))))</f>
      </c>
      <c r="G8" s="16"/>
      <c r="H8" s="20">
        <f>IF(IF(G8="",F8,G8)="","",INDEX(Lists!$B$43:$B$50,MATCH(IF(G8="",F8,G8),Lists!$A$43:$A$50,0)))</f>
      </c>
      <c r="I8" s="20">
        <f>IF(IF(G8="",F8,G8)="","",INDEX(Lists!$C$43:$C$50,MATCH(IF(G8="",F8,G8),Lists!$A$43:$A$50,0)))</f>
      </c>
      <c r="J8" s="16"/>
      <c r="K8" s="17"/>
      <c r="L8" s="20">
        <f>IF('Eight questions'!E8="","",IF('Eight questions'!E8="Must work offline","Yes - rules out anything cloud-only",IF('Eight questions'!E8="Intermittent","Partly - needs offline tolerance","No")))</f>
      </c>
      <c r="M8" s="20">
        <f>IF('Eight questions'!C8="","",IF(OR('Eight questions'!C8="A schedule",'Eight questions'!C8="A system event"),"Yes - rules out anything needing an interactive session","No"))</f>
      </c>
      <c r="N8" s="20">
        <f>IF('Eight questions'!J8="","",IF(OR('Eight questions'!J8="Regulated",'Eight questions'!J8="Confidential"),"Yes - private networking, a stated data location, or local inference","No"))</f>
      </c>
      <c r="O8" s="20">
        <f>IF(OR('Eight questions'!F8="",'Eight questions'!G8=""),"",IF(VALUE(LEFT('Eight questions'!F8,1))&gt;VALUE(LEFT('Eight questions'!G8,1)),"Yes - intended reach exceeds pilot reach","No"))</f>
      </c>
      <c r="P8" s="16"/>
      <c r="Q8" s="16"/>
      <c r="R8" s="20">
        <f>IF('Eight questions'!S8="","",IF('Eight questions'!S8="Yes","Persistent (advisory)","Ephemeral session (transactional)"))</f>
      </c>
      <c r="S8" s="16"/>
    </row>
    <row r="9" ht="30" customHeight="1" spans="1:19" x14ac:dyDescent="0.25">
      <c r="A9" s="20">
        <f>IF(Register!A9="","",Register!A9)</f>
      </c>
      <c r="B9" s="20">
        <f>IF(Register!C9="","",Register!C9)</f>
      </c>
      <c r="C9" s="20">
        <f>IF(IF(Register!U9="",Register!T9,Register!U9)="","",IF(OR(IF(Register!U9="",Register!T9,Register!U9)="Automation",IF(Register!U9="",Register!T9,Register!U9)="Predictive or optimisation"),"1 Not AI",IF(OR('Eight questions'!J9="Regulated",'Eight questions'!O9="Real-world effect",'Assurance and gate'!J9=4),"4 Pro-code",IF(AND('Eight questions'!Q9="Yes",OR('Eight questions'!L9="Nothing",'Eight questions'!L9="Static documents"),'Assurance and gate'!J9&lt;=2),"2 Ready-made","3 Low-code"))))</f>
      </c>
      <c r="D9" s="16"/>
      <c r="E9" s="20">
        <f>IF(IF(D9="",C9,D9)="","",IF(IF(D9="",C9,D9)="1 Not AI","Not AI. Automation platform for fixed rules; Fabric data science or Azure ML for forecasting, scoring and matching.",IF(IF(D9="",C9,D9)="4 Pro-code","Assurance read before category: regulated data, a real-world effect or a full assurance tier escalates the direction regardless of how simple the category looked.",IF(IF(D9="",C9,D9)="2 Ready-made","A published agent covers the function. Adopt and configure. Capped at retrieval and task.",IF(IF(D9="",C9,D9)="3 Low-code","Low-code with governed connectors and built-in responsible AI. Low-code supports autonomous agents - do not climb a rung you do not need.","Full stack control. Only when compliance or customisation demands it.")))))</f>
      </c>
      <c r="F9" s="20">
        <f>IF('Eight questions'!C9="","",IF(OR('Eight questions'!C9="A system event",'Eight questions'!C9="A schedule",'Eight questions'!C9="Another agent"),"Monitor",IF(OR('Eight questions'!F9="4 Enterprise",'Eight questions'!F9="5 External",'Eight questions'!J9="Regulated",'Eight questions'!O9="Real-world effect"),"Build",IF(AND('Eight questions'!C9="A person is already working",'Eight questions'!D9="Inside the tool they have open",'Eight questions'!O9="Read only"),"Assist",IF('Eight questions'!L9="Take an action","Delegate",IF('Eight questions'!O9="Writes to a system","Control",IF('Eight questions'!L9="Static documents","Specialize","Adapt")))))))</f>
      </c>
      <c r="G9" s="16"/>
      <c r="H9" s="20">
        <f>IF(IF(G9="",F9,G9)="","",INDEX(Lists!$B$43:$B$50,MATCH(IF(G9="",F9,G9),Lists!$A$43:$A$50,0)))</f>
      </c>
      <c r="I9" s="20">
        <f>IF(IF(G9="",F9,G9)="","",INDEX(Lists!$C$43:$C$50,MATCH(IF(G9="",F9,G9),Lists!$A$43:$A$50,0)))</f>
      </c>
      <c r="J9" s="16"/>
      <c r="K9" s="17"/>
      <c r="L9" s="20">
        <f>IF('Eight questions'!E9="","",IF('Eight questions'!E9="Must work offline","Yes - rules out anything cloud-only",IF('Eight questions'!E9="Intermittent","Partly - needs offline tolerance","No")))</f>
      </c>
      <c r="M9" s="20">
        <f>IF('Eight questions'!C9="","",IF(OR('Eight questions'!C9="A schedule",'Eight questions'!C9="A system event"),"Yes - rules out anything needing an interactive session","No"))</f>
      </c>
      <c r="N9" s="20">
        <f>IF('Eight questions'!J9="","",IF(OR('Eight questions'!J9="Regulated",'Eight questions'!J9="Confidential"),"Yes - private networking, a stated data location, or local inference","No"))</f>
      </c>
      <c r="O9" s="20">
        <f>IF(OR('Eight questions'!F9="",'Eight questions'!G9=""),"",IF(VALUE(LEFT('Eight questions'!F9,1))&gt;VALUE(LEFT('Eight questions'!G9,1)),"Yes - intended reach exceeds pilot reach","No"))</f>
      </c>
      <c r="P9" s="16"/>
      <c r="Q9" s="16"/>
      <c r="R9" s="20">
        <f>IF('Eight questions'!S9="","",IF('Eight questions'!S9="Yes","Persistent (advisory)","Ephemeral session (transactional)"))</f>
      </c>
      <c r="S9" s="16"/>
    </row>
    <row r="10" ht="30" customHeight="1" spans="1:19" x14ac:dyDescent="0.25">
      <c r="A10" s="20">
        <f>IF(Register!A10="","",Register!A10)</f>
      </c>
      <c r="B10" s="20">
        <f>IF(Register!C10="","",Register!C10)</f>
      </c>
      <c r="C10" s="20">
        <f>IF(IF(Register!U10="",Register!T10,Register!U10)="","",IF(OR(IF(Register!U10="",Register!T10,Register!U10)="Automation",IF(Register!U10="",Register!T10,Register!U10)="Predictive or optimisation"),"1 Not AI",IF(OR('Eight questions'!J10="Regulated",'Eight questions'!O10="Real-world effect",'Assurance and gate'!J10=4),"4 Pro-code",IF(AND('Eight questions'!Q10="Yes",OR('Eight questions'!L10="Nothing",'Eight questions'!L10="Static documents"),'Assurance and gate'!J10&lt;=2),"2 Ready-made","3 Low-code"))))</f>
      </c>
      <c r="D10" s="16"/>
      <c r="E10" s="20">
        <f>IF(IF(D10="",C10,D10)="","",IF(IF(D10="",C10,D10)="1 Not AI","Not AI. Automation platform for fixed rules; Fabric data science or Azure ML for forecasting, scoring and matching.",IF(IF(D10="",C10,D10)="4 Pro-code","Assurance read before category: regulated data, a real-world effect or a full assurance tier escalates the direction regardless of how simple the category looked.",IF(IF(D10="",C10,D10)="2 Ready-made","A published agent covers the function. Adopt and configure. Capped at retrieval and task.",IF(IF(D10="",C10,D10)="3 Low-code","Low-code with governed connectors and built-in responsible AI. Low-code supports autonomous agents - do not climb a rung you do not need.","Full stack control. Only when compliance or customisation demands it.")))))</f>
      </c>
      <c r="F10" s="20">
        <f>IF('Eight questions'!C10="","",IF(OR('Eight questions'!C10="A system event",'Eight questions'!C10="A schedule",'Eight questions'!C10="Another agent"),"Monitor",IF(OR('Eight questions'!F10="4 Enterprise",'Eight questions'!F10="5 External",'Eight questions'!J10="Regulated",'Eight questions'!O10="Real-world effect"),"Build",IF(AND('Eight questions'!C10="A person is already working",'Eight questions'!D10="Inside the tool they have open",'Eight questions'!O10="Read only"),"Assist",IF('Eight questions'!L10="Take an action","Delegate",IF('Eight questions'!O10="Writes to a system","Control",IF('Eight questions'!L10="Static documents","Specialize","Adapt")))))))</f>
      </c>
      <c r="G10" s="16"/>
      <c r="H10" s="20">
        <f>IF(IF(G10="",F10,G10)="","",INDEX(Lists!$B$43:$B$50,MATCH(IF(G10="",F10,G10),Lists!$A$43:$A$50,0)))</f>
      </c>
      <c r="I10" s="20">
        <f>IF(IF(G10="",F10,G10)="","",INDEX(Lists!$C$43:$C$50,MATCH(IF(G10="",F10,G10),Lists!$A$43:$A$50,0)))</f>
      </c>
      <c r="J10" s="16"/>
      <c r="K10" s="17"/>
      <c r="L10" s="20">
        <f>IF('Eight questions'!E10="","",IF('Eight questions'!E10="Must work offline","Yes - rules out anything cloud-only",IF('Eight questions'!E10="Intermittent","Partly - needs offline tolerance","No")))</f>
      </c>
      <c r="M10" s="20">
        <f>IF('Eight questions'!C10="","",IF(OR('Eight questions'!C10="A schedule",'Eight questions'!C10="A system event"),"Yes - rules out anything needing an interactive session","No"))</f>
      </c>
      <c r="N10" s="20">
        <f>IF('Eight questions'!J10="","",IF(OR('Eight questions'!J10="Regulated",'Eight questions'!J10="Confidential"),"Yes - private networking, a stated data location, or local inference","No"))</f>
      </c>
      <c r="O10" s="20">
        <f>IF(OR('Eight questions'!F10="",'Eight questions'!G10=""),"",IF(VALUE(LEFT('Eight questions'!F10,1))&gt;VALUE(LEFT('Eight questions'!G10,1)),"Yes - intended reach exceeds pilot reach","No"))</f>
      </c>
      <c r="P10" s="16"/>
      <c r="Q10" s="16"/>
      <c r="R10" s="20">
        <f>IF('Eight questions'!S10="","",IF('Eight questions'!S10="Yes","Persistent (advisory)","Ephemeral session (transactional)"))</f>
      </c>
      <c r="S10" s="16"/>
    </row>
    <row r="11" ht="30" customHeight="1" spans="1:19" x14ac:dyDescent="0.25">
      <c r="A11" s="20">
        <f>IF(Register!A11="","",Register!A11)</f>
      </c>
      <c r="B11" s="20">
        <f>IF(Register!C11="","",Register!C11)</f>
      </c>
      <c r="C11" s="20">
        <f>IF(IF(Register!U11="",Register!T11,Register!U11)="","",IF(OR(IF(Register!U11="",Register!T11,Register!U11)="Automation",IF(Register!U11="",Register!T11,Register!U11)="Predictive or optimisation"),"1 Not AI",IF(OR('Eight questions'!J11="Regulated",'Eight questions'!O11="Real-world effect",'Assurance and gate'!J11=4),"4 Pro-code",IF(AND('Eight questions'!Q11="Yes",OR('Eight questions'!L11="Nothing",'Eight questions'!L11="Static documents"),'Assurance and gate'!J11&lt;=2),"2 Ready-made","3 Low-code"))))</f>
      </c>
      <c r="D11" s="16"/>
      <c r="E11" s="20">
        <f>IF(IF(D11="",C11,D11)="","",IF(IF(D11="",C11,D11)="1 Not AI","Not AI. Automation platform for fixed rules; Fabric data science or Azure ML for forecasting, scoring and matching.",IF(IF(D11="",C11,D11)="4 Pro-code","Assurance read before category: regulated data, a real-world effect or a full assurance tier escalates the direction regardless of how simple the category looked.",IF(IF(D11="",C11,D11)="2 Ready-made","A published agent covers the function. Adopt and configure. Capped at retrieval and task.",IF(IF(D11="",C11,D11)="3 Low-code","Low-code with governed connectors and built-in responsible AI. Low-code supports autonomous agents - do not climb a rung you do not need.","Full stack control. Only when compliance or customisation demands it.")))))</f>
      </c>
      <c r="F11" s="20">
        <f>IF('Eight questions'!C11="","",IF(OR('Eight questions'!C11="A system event",'Eight questions'!C11="A schedule",'Eight questions'!C11="Another agent"),"Monitor",IF(OR('Eight questions'!F11="4 Enterprise",'Eight questions'!F11="5 External",'Eight questions'!J11="Regulated",'Eight questions'!O11="Real-world effect"),"Build",IF(AND('Eight questions'!C11="A person is already working",'Eight questions'!D11="Inside the tool they have open",'Eight questions'!O11="Read only"),"Assist",IF('Eight questions'!L11="Take an action","Delegate",IF('Eight questions'!O11="Writes to a system","Control",IF('Eight questions'!L11="Static documents","Specialize","Adapt")))))))</f>
      </c>
      <c r="G11" s="16"/>
      <c r="H11" s="20">
        <f>IF(IF(G11="",F11,G11)="","",INDEX(Lists!$B$43:$B$50,MATCH(IF(G11="",F11,G11),Lists!$A$43:$A$50,0)))</f>
      </c>
      <c r="I11" s="20">
        <f>IF(IF(G11="",F11,G11)="","",INDEX(Lists!$C$43:$C$50,MATCH(IF(G11="",F11,G11),Lists!$A$43:$A$50,0)))</f>
      </c>
      <c r="J11" s="16"/>
      <c r="K11" s="17"/>
      <c r="L11" s="20">
        <f>IF('Eight questions'!E11="","",IF('Eight questions'!E11="Must work offline","Yes - rules out anything cloud-only",IF('Eight questions'!E11="Intermittent","Partly - needs offline tolerance","No")))</f>
      </c>
      <c r="M11" s="20">
        <f>IF('Eight questions'!C11="","",IF(OR('Eight questions'!C11="A schedule",'Eight questions'!C11="A system event"),"Yes - rules out anything needing an interactive session","No"))</f>
      </c>
      <c r="N11" s="20">
        <f>IF('Eight questions'!J11="","",IF(OR('Eight questions'!J11="Regulated",'Eight questions'!J11="Confidential"),"Yes - private networking, a stated data location, or local inference","No"))</f>
      </c>
      <c r="O11" s="20">
        <f>IF(OR('Eight questions'!F11="",'Eight questions'!G11=""),"",IF(VALUE(LEFT('Eight questions'!F11,1))&gt;VALUE(LEFT('Eight questions'!G11,1)),"Yes - intended reach exceeds pilot reach","No"))</f>
      </c>
      <c r="P11" s="16"/>
      <c r="Q11" s="16"/>
      <c r="R11" s="20">
        <f>IF('Eight questions'!S11="","",IF('Eight questions'!S11="Yes","Persistent (advisory)","Ephemeral session (transactional)"))</f>
      </c>
      <c r="S11" s="16"/>
    </row>
    <row r="12" ht="30" customHeight="1" spans="1:19" x14ac:dyDescent="0.25">
      <c r="A12" s="20">
        <f>IF(Register!A12="","",Register!A12)</f>
      </c>
      <c r="B12" s="20">
        <f>IF(Register!C12="","",Register!C12)</f>
      </c>
      <c r="C12" s="20">
        <f>IF(IF(Register!U12="",Register!T12,Register!U12)="","",IF(OR(IF(Register!U12="",Register!T12,Register!U12)="Automation",IF(Register!U12="",Register!T12,Register!U12)="Predictive or optimisation"),"1 Not AI",IF(OR('Eight questions'!J12="Regulated",'Eight questions'!O12="Real-world effect",'Assurance and gate'!J12=4),"4 Pro-code",IF(AND('Eight questions'!Q12="Yes",OR('Eight questions'!L12="Nothing",'Eight questions'!L12="Static documents"),'Assurance and gate'!J12&lt;=2),"2 Ready-made","3 Low-code"))))</f>
      </c>
      <c r="D12" s="16"/>
      <c r="E12" s="20">
        <f>IF(IF(D12="",C12,D12)="","",IF(IF(D12="",C12,D12)="1 Not AI","Not AI. Automation platform for fixed rules; Fabric data science or Azure ML for forecasting, scoring and matching.",IF(IF(D12="",C12,D12)="4 Pro-code","Assurance read before category: regulated data, a real-world effect or a full assurance tier escalates the direction regardless of how simple the category looked.",IF(IF(D12="",C12,D12)="2 Ready-made","A published agent covers the function. Adopt and configure. Capped at retrieval and task.",IF(IF(D12="",C12,D12)="3 Low-code","Low-code with governed connectors and built-in responsible AI. Low-code supports autonomous agents - do not climb a rung you do not need.","Full stack control. Only when compliance or customisation demands it.")))))</f>
      </c>
      <c r="F12" s="20">
        <f>IF('Eight questions'!C12="","",IF(OR('Eight questions'!C12="A system event",'Eight questions'!C12="A schedule",'Eight questions'!C12="Another agent"),"Monitor",IF(OR('Eight questions'!F12="4 Enterprise",'Eight questions'!F12="5 External",'Eight questions'!J12="Regulated",'Eight questions'!O12="Real-world effect"),"Build",IF(AND('Eight questions'!C12="A person is already working",'Eight questions'!D12="Inside the tool they have open",'Eight questions'!O12="Read only"),"Assist",IF('Eight questions'!L12="Take an action","Delegate",IF('Eight questions'!O12="Writes to a system","Control",IF('Eight questions'!L12="Static documents","Specialize","Adapt")))))))</f>
      </c>
      <c r="G12" s="16"/>
      <c r="H12" s="20">
        <f>IF(IF(G12="",F12,G12)="","",INDEX(Lists!$B$43:$B$50,MATCH(IF(G12="",F12,G12),Lists!$A$43:$A$50,0)))</f>
      </c>
      <c r="I12" s="20">
        <f>IF(IF(G12="",F12,G12)="","",INDEX(Lists!$C$43:$C$50,MATCH(IF(G12="",F12,G12),Lists!$A$43:$A$50,0)))</f>
      </c>
      <c r="J12" s="16"/>
      <c r="K12" s="17"/>
      <c r="L12" s="20">
        <f>IF('Eight questions'!E12="","",IF('Eight questions'!E12="Must work offline","Yes - rules out anything cloud-only",IF('Eight questions'!E12="Intermittent","Partly - needs offline tolerance","No")))</f>
      </c>
      <c r="M12" s="20">
        <f>IF('Eight questions'!C12="","",IF(OR('Eight questions'!C12="A schedule",'Eight questions'!C12="A system event"),"Yes - rules out anything needing an interactive session","No"))</f>
      </c>
      <c r="N12" s="20">
        <f>IF('Eight questions'!J12="","",IF(OR('Eight questions'!J12="Regulated",'Eight questions'!J12="Confidential"),"Yes - private networking, a stated data location, or local inference","No"))</f>
      </c>
      <c r="O12" s="20">
        <f>IF(OR('Eight questions'!F12="",'Eight questions'!G12=""),"",IF(VALUE(LEFT('Eight questions'!F12,1))&gt;VALUE(LEFT('Eight questions'!G12,1)),"Yes - intended reach exceeds pilot reach","No"))</f>
      </c>
      <c r="P12" s="16"/>
      <c r="Q12" s="16"/>
      <c r="R12" s="20">
        <f>IF('Eight questions'!S12="","",IF('Eight questions'!S12="Yes","Persistent (advisory)","Ephemeral session (transactional)"))</f>
      </c>
      <c r="S12" s="16"/>
    </row>
    <row r="13" ht="30" customHeight="1" spans="1:19" x14ac:dyDescent="0.25">
      <c r="A13" s="20">
        <f>IF(Register!A13="","",Register!A13)</f>
      </c>
      <c r="B13" s="20">
        <f>IF(Register!C13="","",Register!C13)</f>
      </c>
      <c r="C13" s="20">
        <f>IF(IF(Register!U13="",Register!T13,Register!U13)="","",IF(OR(IF(Register!U13="",Register!T13,Register!U13)="Automation",IF(Register!U13="",Register!T13,Register!U13)="Predictive or optimisation"),"1 Not AI",IF(OR('Eight questions'!J13="Regulated",'Eight questions'!O13="Real-world effect",'Assurance and gate'!J13=4),"4 Pro-code",IF(AND('Eight questions'!Q13="Yes",OR('Eight questions'!L13="Nothing",'Eight questions'!L13="Static documents"),'Assurance and gate'!J13&lt;=2),"2 Ready-made","3 Low-code"))))</f>
      </c>
      <c r="D13" s="16"/>
      <c r="E13" s="20">
        <f>IF(IF(D13="",C13,D13)="","",IF(IF(D13="",C13,D13)="1 Not AI","Not AI. Automation platform for fixed rules; Fabric data science or Azure ML for forecasting, scoring and matching.",IF(IF(D13="",C13,D13)="4 Pro-code","Assurance read before category: regulated data, a real-world effect or a full assurance tier escalates the direction regardless of how simple the category looked.",IF(IF(D13="",C13,D13)="2 Ready-made","A published agent covers the function. Adopt and configure. Capped at retrieval and task.",IF(IF(D13="",C13,D13)="3 Low-code","Low-code with governed connectors and built-in responsible AI. Low-code supports autonomous agents - do not climb a rung you do not need.","Full stack control. Only when compliance or customisation demands it.")))))</f>
      </c>
      <c r="F13" s="20">
        <f>IF('Eight questions'!C13="","",IF(OR('Eight questions'!C13="A system event",'Eight questions'!C13="A schedule",'Eight questions'!C13="Another agent"),"Monitor",IF(OR('Eight questions'!F13="4 Enterprise",'Eight questions'!F13="5 External",'Eight questions'!J13="Regulated",'Eight questions'!O13="Real-world effect"),"Build",IF(AND('Eight questions'!C13="A person is already working",'Eight questions'!D13="Inside the tool they have open",'Eight questions'!O13="Read only"),"Assist",IF('Eight questions'!L13="Take an action","Delegate",IF('Eight questions'!O13="Writes to a system","Control",IF('Eight questions'!L13="Static documents","Specialize","Adapt")))))))</f>
      </c>
      <c r="G13" s="16"/>
      <c r="H13" s="20">
        <f>IF(IF(G13="",F13,G13)="","",INDEX(Lists!$B$43:$B$50,MATCH(IF(G13="",F13,G13),Lists!$A$43:$A$50,0)))</f>
      </c>
      <c r="I13" s="20">
        <f>IF(IF(G13="",F13,G13)="","",INDEX(Lists!$C$43:$C$50,MATCH(IF(G13="",F13,G13),Lists!$A$43:$A$50,0)))</f>
      </c>
      <c r="J13" s="16"/>
      <c r="K13" s="17"/>
      <c r="L13" s="20">
        <f>IF('Eight questions'!E13="","",IF('Eight questions'!E13="Must work offline","Yes - rules out anything cloud-only",IF('Eight questions'!E13="Intermittent","Partly - needs offline tolerance","No")))</f>
      </c>
      <c r="M13" s="20">
        <f>IF('Eight questions'!C13="","",IF(OR('Eight questions'!C13="A schedule",'Eight questions'!C13="A system event"),"Yes - rules out anything needing an interactive session","No"))</f>
      </c>
      <c r="N13" s="20">
        <f>IF('Eight questions'!J13="","",IF(OR('Eight questions'!J13="Regulated",'Eight questions'!J13="Confidential"),"Yes - private networking, a stated data location, or local inference","No"))</f>
      </c>
      <c r="O13" s="20">
        <f>IF(OR('Eight questions'!F13="",'Eight questions'!G13=""),"",IF(VALUE(LEFT('Eight questions'!F13,1))&gt;VALUE(LEFT('Eight questions'!G13,1)),"Yes - intended reach exceeds pilot reach","No"))</f>
      </c>
      <c r="P13" s="16"/>
      <c r="Q13" s="16"/>
      <c r="R13" s="20">
        <f>IF('Eight questions'!S13="","",IF('Eight questions'!S13="Yes","Persistent (advisory)","Ephemeral session (transactional)"))</f>
      </c>
      <c r="S13" s="16"/>
    </row>
    <row r="14" ht="30" customHeight="1" spans="1:19" x14ac:dyDescent="0.25">
      <c r="A14" s="20">
        <f>IF(Register!A14="","",Register!A14)</f>
      </c>
      <c r="B14" s="20">
        <f>IF(Register!C14="","",Register!C14)</f>
      </c>
      <c r="C14" s="20">
        <f>IF(IF(Register!U14="",Register!T14,Register!U14)="","",IF(OR(IF(Register!U14="",Register!T14,Register!U14)="Automation",IF(Register!U14="",Register!T14,Register!U14)="Predictive or optimisation"),"1 Not AI",IF(OR('Eight questions'!J14="Regulated",'Eight questions'!O14="Real-world effect",'Assurance and gate'!J14=4),"4 Pro-code",IF(AND('Eight questions'!Q14="Yes",OR('Eight questions'!L14="Nothing",'Eight questions'!L14="Static documents"),'Assurance and gate'!J14&lt;=2),"2 Ready-made","3 Low-code"))))</f>
      </c>
      <c r="D14" s="16"/>
      <c r="E14" s="20">
        <f>IF(IF(D14="",C14,D14)="","",IF(IF(D14="",C14,D14)="1 Not AI","Not AI. Automation platform for fixed rules; Fabric data science or Azure ML for forecasting, scoring and matching.",IF(IF(D14="",C14,D14)="4 Pro-code","Assurance read before category: regulated data, a real-world effect or a full assurance tier escalates the direction regardless of how simple the category looked.",IF(IF(D14="",C14,D14)="2 Ready-made","A published agent covers the function. Adopt and configure. Capped at retrieval and task.",IF(IF(D14="",C14,D14)="3 Low-code","Low-code with governed connectors and built-in responsible AI. Low-code supports autonomous agents - do not climb a rung you do not need.","Full stack control. Only when compliance or customisation demands it.")))))</f>
      </c>
      <c r="F14" s="20">
        <f>IF('Eight questions'!C14="","",IF(OR('Eight questions'!C14="A system event",'Eight questions'!C14="A schedule",'Eight questions'!C14="Another agent"),"Monitor",IF(OR('Eight questions'!F14="4 Enterprise",'Eight questions'!F14="5 External",'Eight questions'!J14="Regulated",'Eight questions'!O14="Real-world effect"),"Build",IF(AND('Eight questions'!C14="A person is already working",'Eight questions'!D14="Inside the tool they have open",'Eight questions'!O14="Read only"),"Assist",IF('Eight questions'!L14="Take an action","Delegate",IF('Eight questions'!O14="Writes to a system","Control",IF('Eight questions'!L14="Static documents","Specialize","Adapt")))))))</f>
      </c>
      <c r="G14" s="16"/>
      <c r="H14" s="20">
        <f>IF(IF(G14="",F14,G14)="","",INDEX(Lists!$B$43:$B$50,MATCH(IF(G14="",F14,G14),Lists!$A$43:$A$50,0)))</f>
      </c>
      <c r="I14" s="20">
        <f>IF(IF(G14="",F14,G14)="","",INDEX(Lists!$C$43:$C$50,MATCH(IF(G14="",F14,G14),Lists!$A$43:$A$50,0)))</f>
      </c>
      <c r="J14" s="16"/>
      <c r="K14" s="17"/>
      <c r="L14" s="20">
        <f>IF('Eight questions'!E14="","",IF('Eight questions'!E14="Must work offline","Yes - rules out anything cloud-only",IF('Eight questions'!E14="Intermittent","Partly - needs offline tolerance","No")))</f>
      </c>
      <c r="M14" s="20">
        <f>IF('Eight questions'!C14="","",IF(OR('Eight questions'!C14="A schedule",'Eight questions'!C14="A system event"),"Yes - rules out anything needing an interactive session","No"))</f>
      </c>
      <c r="N14" s="20">
        <f>IF('Eight questions'!J14="","",IF(OR('Eight questions'!J14="Regulated",'Eight questions'!J14="Confidential"),"Yes - private networking, a stated data location, or local inference","No"))</f>
      </c>
      <c r="O14" s="20">
        <f>IF(OR('Eight questions'!F14="",'Eight questions'!G14=""),"",IF(VALUE(LEFT('Eight questions'!F14,1))&gt;VALUE(LEFT('Eight questions'!G14,1)),"Yes - intended reach exceeds pilot reach","No"))</f>
      </c>
      <c r="P14" s="16"/>
      <c r="Q14" s="16"/>
      <c r="R14" s="20">
        <f>IF('Eight questions'!S14="","",IF('Eight questions'!S14="Yes","Persistent (advisory)","Ephemeral session (transactional)"))</f>
      </c>
      <c r="S14" s="16"/>
    </row>
    <row r="15" ht="30" customHeight="1" spans="1:19" x14ac:dyDescent="0.25">
      <c r="A15" s="20">
        <f>IF(Register!A15="","",Register!A15)</f>
      </c>
      <c r="B15" s="20">
        <f>IF(Register!C15="","",Register!C15)</f>
      </c>
      <c r="C15" s="20">
        <f>IF(IF(Register!U15="",Register!T15,Register!U15)="","",IF(OR(IF(Register!U15="",Register!T15,Register!U15)="Automation",IF(Register!U15="",Register!T15,Register!U15)="Predictive or optimisation"),"1 Not AI",IF(OR('Eight questions'!J15="Regulated",'Eight questions'!O15="Real-world effect",'Assurance and gate'!J15=4),"4 Pro-code",IF(AND('Eight questions'!Q15="Yes",OR('Eight questions'!L15="Nothing",'Eight questions'!L15="Static documents"),'Assurance and gate'!J15&lt;=2),"2 Ready-made","3 Low-code"))))</f>
      </c>
      <c r="D15" s="16"/>
      <c r="E15" s="20">
        <f>IF(IF(D15="",C15,D15)="","",IF(IF(D15="",C15,D15)="1 Not AI","Not AI. Automation platform for fixed rules; Fabric data science or Azure ML for forecasting, scoring and matching.",IF(IF(D15="",C15,D15)="4 Pro-code","Assurance read before category: regulated data, a real-world effect or a full assurance tier escalates the direction regardless of how simple the category looked.",IF(IF(D15="",C15,D15)="2 Ready-made","A published agent covers the function. Adopt and configure. Capped at retrieval and task.",IF(IF(D15="",C15,D15)="3 Low-code","Low-code with governed connectors and built-in responsible AI. Low-code supports autonomous agents - do not climb a rung you do not need.","Full stack control. Only when compliance or customisation demands it.")))))</f>
      </c>
      <c r="F15" s="20">
        <f>IF('Eight questions'!C15="","",IF(OR('Eight questions'!C15="A system event",'Eight questions'!C15="A schedule",'Eight questions'!C15="Another agent"),"Monitor",IF(OR('Eight questions'!F15="4 Enterprise",'Eight questions'!F15="5 External",'Eight questions'!J15="Regulated",'Eight questions'!O15="Real-world effect"),"Build",IF(AND('Eight questions'!C15="A person is already working",'Eight questions'!D15="Inside the tool they have open",'Eight questions'!O15="Read only"),"Assist",IF('Eight questions'!L15="Take an action","Delegate",IF('Eight questions'!O15="Writes to a system","Control",IF('Eight questions'!L15="Static documents","Specialize","Adapt")))))))</f>
      </c>
      <c r="G15" s="16"/>
      <c r="H15" s="20">
        <f>IF(IF(G15="",F15,G15)="","",INDEX(Lists!$B$43:$B$50,MATCH(IF(G15="",F15,G15),Lists!$A$43:$A$50,0)))</f>
      </c>
      <c r="I15" s="20">
        <f>IF(IF(G15="",F15,G15)="","",INDEX(Lists!$C$43:$C$50,MATCH(IF(G15="",F15,G15),Lists!$A$43:$A$50,0)))</f>
      </c>
      <c r="J15" s="16"/>
      <c r="K15" s="17"/>
      <c r="L15" s="20">
        <f>IF('Eight questions'!E15="","",IF('Eight questions'!E15="Must work offline","Yes - rules out anything cloud-only",IF('Eight questions'!E15="Intermittent","Partly - needs offline tolerance","No")))</f>
      </c>
      <c r="M15" s="20">
        <f>IF('Eight questions'!C15="","",IF(OR('Eight questions'!C15="A schedule",'Eight questions'!C15="A system event"),"Yes - rules out anything needing an interactive session","No"))</f>
      </c>
      <c r="N15" s="20">
        <f>IF('Eight questions'!J15="","",IF(OR('Eight questions'!J15="Regulated",'Eight questions'!J15="Confidential"),"Yes - private networking, a stated data location, or local inference","No"))</f>
      </c>
      <c r="O15" s="20">
        <f>IF(OR('Eight questions'!F15="",'Eight questions'!G15=""),"",IF(VALUE(LEFT('Eight questions'!F15,1))&gt;VALUE(LEFT('Eight questions'!G15,1)),"Yes - intended reach exceeds pilot reach","No"))</f>
      </c>
      <c r="P15" s="16"/>
      <c r="Q15" s="16"/>
      <c r="R15" s="20">
        <f>IF('Eight questions'!S15="","",IF('Eight questions'!S15="Yes","Persistent (advisory)","Ephemeral session (transactional)"))</f>
      </c>
      <c r="S15" s="16"/>
    </row>
    <row r="16" ht="30" customHeight="1" spans="1:19" x14ac:dyDescent="0.25">
      <c r="A16" s="20">
        <f>IF(Register!A16="","",Register!A16)</f>
      </c>
      <c r="B16" s="20">
        <f>IF(Register!C16="","",Register!C16)</f>
      </c>
      <c r="C16" s="20">
        <f>IF(IF(Register!U16="",Register!T16,Register!U16)="","",IF(OR(IF(Register!U16="",Register!T16,Register!U16)="Automation",IF(Register!U16="",Register!T16,Register!U16)="Predictive or optimisation"),"1 Not AI",IF(OR('Eight questions'!J16="Regulated",'Eight questions'!O16="Real-world effect",'Assurance and gate'!J16=4),"4 Pro-code",IF(AND('Eight questions'!Q16="Yes",OR('Eight questions'!L16="Nothing",'Eight questions'!L16="Static documents"),'Assurance and gate'!J16&lt;=2),"2 Ready-made","3 Low-code"))))</f>
      </c>
      <c r="D16" s="16"/>
      <c r="E16" s="20">
        <f>IF(IF(D16="",C16,D16)="","",IF(IF(D16="",C16,D16)="1 Not AI","Not AI. Automation platform for fixed rules; Fabric data science or Azure ML for forecasting, scoring and matching.",IF(IF(D16="",C16,D16)="4 Pro-code","Assurance read before category: regulated data, a real-world effect or a full assurance tier escalates the direction regardless of how simple the category looked.",IF(IF(D16="",C16,D16)="2 Ready-made","A published agent covers the function. Adopt and configure. Capped at retrieval and task.",IF(IF(D16="",C16,D16)="3 Low-code","Low-code with governed connectors and built-in responsible AI. Low-code supports autonomous agents - do not climb a rung you do not need.","Full stack control. Only when compliance or customisation demands it.")))))</f>
      </c>
      <c r="F16" s="20">
        <f>IF('Eight questions'!C16="","",IF(OR('Eight questions'!C16="A system event",'Eight questions'!C16="A schedule",'Eight questions'!C16="Another agent"),"Monitor",IF(OR('Eight questions'!F16="4 Enterprise",'Eight questions'!F16="5 External",'Eight questions'!J16="Regulated",'Eight questions'!O16="Real-world effect"),"Build",IF(AND('Eight questions'!C16="A person is already working",'Eight questions'!D16="Inside the tool they have open",'Eight questions'!O16="Read only"),"Assist",IF('Eight questions'!L16="Take an action","Delegate",IF('Eight questions'!O16="Writes to a system","Control",IF('Eight questions'!L16="Static documents","Specialize","Adapt")))))))</f>
      </c>
      <c r="G16" s="16"/>
      <c r="H16" s="20">
        <f>IF(IF(G16="",F16,G16)="","",INDEX(Lists!$B$43:$B$50,MATCH(IF(G16="",F16,G16),Lists!$A$43:$A$50,0)))</f>
      </c>
      <c r="I16" s="20">
        <f>IF(IF(G16="",F16,G16)="","",INDEX(Lists!$C$43:$C$50,MATCH(IF(G16="",F16,G16),Lists!$A$43:$A$50,0)))</f>
      </c>
      <c r="J16" s="16"/>
      <c r="K16" s="17"/>
      <c r="L16" s="20">
        <f>IF('Eight questions'!E16="","",IF('Eight questions'!E16="Must work offline","Yes - rules out anything cloud-only",IF('Eight questions'!E16="Intermittent","Partly - needs offline tolerance","No")))</f>
      </c>
      <c r="M16" s="20">
        <f>IF('Eight questions'!C16="","",IF(OR('Eight questions'!C16="A schedule",'Eight questions'!C16="A system event"),"Yes - rules out anything needing an interactive session","No"))</f>
      </c>
      <c r="N16" s="20">
        <f>IF('Eight questions'!J16="","",IF(OR('Eight questions'!J16="Regulated",'Eight questions'!J16="Confidential"),"Yes - private networking, a stated data location, or local inference","No"))</f>
      </c>
      <c r="O16" s="20">
        <f>IF(OR('Eight questions'!F16="",'Eight questions'!G16=""),"",IF(VALUE(LEFT('Eight questions'!F16,1))&gt;VALUE(LEFT('Eight questions'!G16,1)),"Yes - intended reach exceeds pilot reach","No"))</f>
      </c>
      <c r="P16" s="16"/>
      <c r="Q16" s="16"/>
      <c r="R16" s="20">
        <f>IF('Eight questions'!S16="","",IF('Eight questions'!S16="Yes","Persistent (advisory)","Ephemeral session (transactional)"))</f>
      </c>
      <c r="S16" s="16"/>
    </row>
    <row r="17" ht="30" customHeight="1" spans="1:19" x14ac:dyDescent="0.25">
      <c r="A17" s="20">
        <f>IF(Register!A17="","",Register!A17)</f>
      </c>
      <c r="B17" s="20">
        <f>IF(Register!C17="","",Register!C17)</f>
      </c>
      <c r="C17" s="20">
        <f>IF(IF(Register!U17="",Register!T17,Register!U17)="","",IF(OR(IF(Register!U17="",Register!T17,Register!U17)="Automation",IF(Register!U17="",Register!T17,Register!U17)="Predictive or optimisation"),"1 Not AI",IF(OR('Eight questions'!J17="Regulated",'Eight questions'!O17="Real-world effect",'Assurance and gate'!J17=4),"4 Pro-code",IF(AND('Eight questions'!Q17="Yes",OR('Eight questions'!L17="Nothing",'Eight questions'!L17="Static documents"),'Assurance and gate'!J17&lt;=2),"2 Ready-made","3 Low-code"))))</f>
      </c>
      <c r="D17" s="16"/>
      <c r="E17" s="20">
        <f>IF(IF(D17="",C17,D17)="","",IF(IF(D17="",C17,D17)="1 Not AI","Not AI. Automation platform for fixed rules; Fabric data science or Azure ML for forecasting, scoring and matching.",IF(IF(D17="",C17,D17)="4 Pro-code","Assurance read before category: regulated data, a real-world effect or a full assurance tier escalates the direction regardless of how simple the category looked.",IF(IF(D17="",C17,D17)="2 Ready-made","A published agent covers the function. Adopt and configure. Capped at retrieval and task.",IF(IF(D17="",C17,D17)="3 Low-code","Low-code with governed connectors and built-in responsible AI. Low-code supports autonomous agents - do not climb a rung you do not need.","Full stack control. Only when compliance or customisation demands it.")))))</f>
      </c>
      <c r="F17" s="20">
        <f>IF('Eight questions'!C17="","",IF(OR('Eight questions'!C17="A system event",'Eight questions'!C17="A schedule",'Eight questions'!C17="Another agent"),"Monitor",IF(OR('Eight questions'!F17="4 Enterprise",'Eight questions'!F17="5 External",'Eight questions'!J17="Regulated",'Eight questions'!O17="Real-world effect"),"Build",IF(AND('Eight questions'!C17="A person is already working",'Eight questions'!D17="Inside the tool they have open",'Eight questions'!O17="Read only"),"Assist",IF('Eight questions'!L17="Take an action","Delegate",IF('Eight questions'!O17="Writes to a system","Control",IF('Eight questions'!L17="Static documents","Specialize","Adapt")))))))</f>
      </c>
      <c r="G17" s="16"/>
      <c r="H17" s="20">
        <f>IF(IF(G17="",F17,G17)="","",INDEX(Lists!$B$43:$B$50,MATCH(IF(G17="",F17,G17),Lists!$A$43:$A$50,0)))</f>
      </c>
      <c r="I17" s="20">
        <f>IF(IF(G17="",F17,G17)="","",INDEX(Lists!$C$43:$C$50,MATCH(IF(G17="",F17,G17),Lists!$A$43:$A$50,0)))</f>
      </c>
      <c r="J17" s="16"/>
      <c r="K17" s="17"/>
      <c r="L17" s="20">
        <f>IF('Eight questions'!E17="","",IF('Eight questions'!E17="Must work offline","Yes - rules out anything cloud-only",IF('Eight questions'!E17="Intermittent","Partly - needs offline tolerance","No")))</f>
      </c>
      <c r="M17" s="20">
        <f>IF('Eight questions'!C17="","",IF(OR('Eight questions'!C17="A schedule",'Eight questions'!C17="A system event"),"Yes - rules out anything needing an interactive session","No"))</f>
      </c>
      <c r="N17" s="20">
        <f>IF('Eight questions'!J17="","",IF(OR('Eight questions'!J17="Regulated",'Eight questions'!J17="Confidential"),"Yes - private networking, a stated data location, or local inference","No"))</f>
      </c>
      <c r="O17" s="20">
        <f>IF(OR('Eight questions'!F17="",'Eight questions'!G17=""),"",IF(VALUE(LEFT('Eight questions'!F17,1))&gt;VALUE(LEFT('Eight questions'!G17,1)),"Yes - intended reach exceeds pilot reach","No"))</f>
      </c>
      <c r="P17" s="16"/>
      <c r="Q17" s="16"/>
      <c r="R17" s="20">
        <f>IF('Eight questions'!S17="","",IF('Eight questions'!S17="Yes","Persistent (advisory)","Ephemeral session (transactional)"))</f>
      </c>
      <c r="S17" s="16"/>
    </row>
    <row r="18" ht="30" customHeight="1" spans="1:19" x14ac:dyDescent="0.25">
      <c r="A18" s="20">
        <f>IF(Register!A18="","",Register!A18)</f>
      </c>
      <c r="B18" s="20">
        <f>IF(Register!C18="","",Register!C18)</f>
      </c>
      <c r="C18" s="20">
        <f>IF(IF(Register!U18="",Register!T18,Register!U18)="","",IF(OR(IF(Register!U18="",Register!T18,Register!U18)="Automation",IF(Register!U18="",Register!T18,Register!U18)="Predictive or optimisation"),"1 Not AI",IF(OR('Eight questions'!J18="Regulated",'Eight questions'!O18="Real-world effect",'Assurance and gate'!J18=4),"4 Pro-code",IF(AND('Eight questions'!Q18="Yes",OR('Eight questions'!L18="Nothing",'Eight questions'!L18="Static documents"),'Assurance and gate'!J18&lt;=2),"2 Ready-made","3 Low-code"))))</f>
      </c>
      <c r="D18" s="16"/>
      <c r="E18" s="20">
        <f>IF(IF(D18="",C18,D18)="","",IF(IF(D18="",C18,D18)="1 Not AI","Not AI. Automation platform for fixed rules; Fabric data science or Azure ML for forecasting, scoring and matching.",IF(IF(D18="",C18,D18)="4 Pro-code","Assurance read before category: regulated data, a real-world effect or a full assurance tier escalates the direction regardless of how simple the category looked.",IF(IF(D18="",C18,D18)="2 Ready-made","A published agent covers the function. Adopt and configure. Capped at retrieval and task.",IF(IF(D18="",C18,D18)="3 Low-code","Low-code with governed connectors and built-in responsible AI. Low-code supports autonomous agents - do not climb a rung you do not need.","Full stack control. Only when compliance or customisation demands it.")))))</f>
      </c>
      <c r="F18" s="20">
        <f>IF('Eight questions'!C18="","",IF(OR('Eight questions'!C18="A system event",'Eight questions'!C18="A schedule",'Eight questions'!C18="Another agent"),"Monitor",IF(OR('Eight questions'!F18="4 Enterprise",'Eight questions'!F18="5 External",'Eight questions'!J18="Regulated",'Eight questions'!O18="Real-world effect"),"Build",IF(AND('Eight questions'!C18="A person is already working",'Eight questions'!D18="Inside the tool they have open",'Eight questions'!O18="Read only"),"Assist",IF('Eight questions'!L18="Take an action","Delegate",IF('Eight questions'!O18="Writes to a system","Control",IF('Eight questions'!L18="Static documents","Specialize","Adapt")))))))</f>
      </c>
      <c r="G18" s="16"/>
      <c r="H18" s="20">
        <f>IF(IF(G18="",F18,G18)="","",INDEX(Lists!$B$43:$B$50,MATCH(IF(G18="",F18,G18),Lists!$A$43:$A$50,0)))</f>
      </c>
      <c r="I18" s="20">
        <f>IF(IF(G18="",F18,G18)="","",INDEX(Lists!$C$43:$C$50,MATCH(IF(G18="",F18,G18),Lists!$A$43:$A$50,0)))</f>
      </c>
      <c r="J18" s="16"/>
      <c r="K18" s="17"/>
      <c r="L18" s="20">
        <f>IF('Eight questions'!E18="","",IF('Eight questions'!E18="Must work offline","Yes - rules out anything cloud-only",IF('Eight questions'!E18="Intermittent","Partly - needs offline tolerance","No")))</f>
      </c>
      <c r="M18" s="20">
        <f>IF('Eight questions'!C18="","",IF(OR('Eight questions'!C18="A schedule",'Eight questions'!C18="A system event"),"Yes - rules out anything needing an interactive session","No"))</f>
      </c>
      <c r="N18" s="20">
        <f>IF('Eight questions'!J18="","",IF(OR('Eight questions'!J18="Regulated",'Eight questions'!J18="Confidential"),"Yes - private networking, a stated data location, or local inference","No"))</f>
      </c>
      <c r="O18" s="20">
        <f>IF(OR('Eight questions'!F18="",'Eight questions'!G18=""),"",IF(VALUE(LEFT('Eight questions'!F18,1))&gt;VALUE(LEFT('Eight questions'!G18,1)),"Yes - intended reach exceeds pilot reach","No"))</f>
      </c>
      <c r="P18" s="16"/>
      <c r="Q18" s="16"/>
      <c r="R18" s="20">
        <f>IF('Eight questions'!S18="","",IF('Eight questions'!S18="Yes","Persistent (advisory)","Ephemeral session (transactional)"))</f>
      </c>
      <c r="S18" s="16"/>
    </row>
    <row r="19" ht="30" customHeight="1" spans="1:19" x14ac:dyDescent="0.25">
      <c r="A19" s="20">
        <f>IF(Register!A19="","",Register!A19)</f>
      </c>
      <c r="B19" s="20">
        <f>IF(Register!C19="","",Register!C19)</f>
      </c>
      <c r="C19" s="20">
        <f>IF(IF(Register!U19="",Register!T19,Register!U19)="","",IF(OR(IF(Register!U19="",Register!T19,Register!U19)="Automation",IF(Register!U19="",Register!T19,Register!U19)="Predictive or optimisation"),"1 Not AI",IF(OR('Eight questions'!J19="Regulated",'Eight questions'!O19="Real-world effect",'Assurance and gate'!J19=4),"4 Pro-code",IF(AND('Eight questions'!Q19="Yes",OR('Eight questions'!L19="Nothing",'Eight questions'!L19="Static documents"),'Assurance and gate'!J19&lt;=2),"2 Ready-made","3 Low-code"))))</f>
      </c>
      <c r="D19" s="16"/>
      <c r="E19" s="20">
        <f>IF(IF(D19="",C19,D19)="","",IF(IF(D19="",C19,D19)="1 Not AI","Not AI. Automation platform for fixed rules; Fabric data science or Azure ML for forecasting, scoring and matching.",IF(IF(D19="",C19,D19)="4 Pro-code","Assurance read before category: regulated data, a real-world effect or a full assurance tier escalates the direction regardless of how simple the category looked.",IF(IF(D19="",C19,D19)="2 Ready-made","A published agent covers the function. Adopt and configure. Capped at retrieval and task.",IF(IF(D19="",C19,D19)="3 Low-code","Low-code with governed connectors and built-in responsible AI. Low-code supports autonomous agents - do not climb a rung you do not need.","Full stack control. Only when compliance or customisation demands it.")))))</f>
      </c>
      <c r="F19" s="20">
        <f>IF('Eight questions'!C19="","",IF(OR('Eight questions'!C19="A system event",'Eight questions'!C19="A schedule",'Eight questions'!C19="Another agent"),"Monitor",IF(OR('Eight questions'!F19="4 Enterprise",'Eight questions'!F19="5 External",'Eight questions'!J19="Regulated",'Eight questions'!O19="Real-world effect"),"Build",IF(AND('Eight questions'!C19="A person is already working",'Eight questions'!D19="Inside the tool they have open",'Eight questions'!O19="Read only"),"Assist",IF('Eight questions'!L19="Take an action","Delegate",IF('Eight questions'!O19="Writes to a system","Control",IF('Eight questions'!L19="Static documents","Specialize","Adapt")))))))</f>
      </c>
      <c r="G19" s="16"/>
      <c r="H19" s="20">
        <f>IF(IF(G19="",F19,G19)="","",INDEX(Lists!$B$43:$B$50,MATCH(IF(G19="",F19,G19),Lists!$A$43:$A$50,0)))</f>
      </c>
      <c r="I19" s="20">
        <f>IF(IF(G19="",F19,G19)="","",INDEX(Lists!$C$43:$C$50,MATCH(IF(G19="",F19,G19),Lists!$A$43:$A$50,0)))</f>
      </c>
      <c r="J19" s="16"/>
      <c r="K19" s="17"/>
      <c r="L19" s="20">
        <f>IF('Eight questions'!E19="","",IF('Eight questions'!E19="Must work offline","Yes - rules out anything cloud-only",IF('Eight questions'!E19="Intermittent","Partly - needs offline tolerance","No")))</f>
      </c>
      <c r="M19" s="20">
        <f>IF('Eight questions'!C19="","",IF(OR('Eight questions'!C19="A schedule",'Eight questions'!C19="A system event"),"Yes - rules out anything needing an interactive session","No"))</f>
      </c>
      <c r="N19" s="20">
        <f>IF('Eight questions'!J19="","",IF(OR('Eight questions'!J19="Regulated",'Eight questions'!J19="Confidential"),"Yes - private networking, a stated data location, or local inference","No"))</f>
      </c>
      <c r="O19" s="20">
        <f>IF(OR('Eight questions'!F19="",'Eight questions'!G19=""),"",IF(VALUE(LEFT('Eight questions'!F19,1))&gt;VALUE(LEFT('Eight questions'!G19,1)),"Yes - intended reach exceeds pilot reach","No"))</f>
      </c>
      <c r="P19" s="16"/>
      <c r="Q19" s="16"/>
      <c r="R19" s="20">
        <f>IF('Eight questions'!S19="","",IF('Eight questions'!S19="Yes","Persistent (advisory)","Ephemeral session (transactional)"))</f>
      </c>
      <c r="S19" s="16"/>
    </row>
    <row r="20" ht="30" customHeight="1" spans="1:19" x14ac:dyDescent="0.25">
      <c r="A20" s="20">
        <f>IF(Register!A20="","",Register!A20)</f>
      </c>
      <c r="B20" s="20">
        <f>IF(Register!C20="","",Register!C20)</f>
      </c>
      <c r="C20" s="20">
        <f>IF(IF(Register!U20="",Register!T20,Register!U20)="","",IF(OR(IF(Register!U20="",Register!T20,Register!U20)="Automation",IF(Register!U20="",Register!T20,Register!U20)="Predictive or optimisation"),"1 Not AI",IF(OR('Eight questions'!J20="Regulated",'Eight questions'!O20="Real-world effect",'Assurance and gate'!J20=4),"4 Pro-code",IF(AND('Eight questions'!Q20="Yes",OR('Eight questions'!L20="Nothing",'Eight questions'!L20="Static documents"),'Assurance and gate'!J20&lt;=2),"2 Ready-made","3 Low-code"))))</f>
      </c>
      <c r="D20" s="16"/>
      <c r="E20" s="20">
        <f>IF(IF(D20="",C20,D20)="","",IF(IF(D20="",C20,D20)="1 Not AI","Not AI. Automation platform for fixed rules; Fabric data science or Azure ML for forecasting, scoring and matching.",IF(IF(D20="",C20,D20)="4 Pro-code","Assurance read before category: regulated data, a real-world effect or a full assurance tier escalates the direction regardless of how simple the category looked.",IF(IF(D20="",C20,D20)="2 Ready-made","A published agent covers the function. Adopt and configure. Capped at retrieval and task.",IF(IF(D20="",C20,D20)="3 Low-code","Low-code with governed connectors and built-in responsible AI. Low-code supports autonomous agents - do not climb a rung you do not need.","Full stack control. Only when compliance or customisation demands it.")))))</f>
      </c>
      <c r="F20" s="20">
        <f>IF('Eight questions'!C20="","",IF(OR('Eight questions'!C20="A system event",'Eight questions'!C20="A schedule",'Eight questions'!C20="Another agent"),"Monitor",IF(OR('Eight questions'!F20="4 Enterprise",'Eight questions'!F20="5 External",'Eight questions'!J20="Regulated",'Eight questions'!O20="Real-world effect"),"Build",IF(AND('Eight questions'!C20="A person is already working",'Eight questions'!D20="Inside the tool they have open",'Eight questions'!O20="Read only"),"Assist",IF('Eight questions'!L20="Take an action","Delegate",IF('Eight questions'!O20="Writes to a system","Control",IF('Eight questions'!L20="Static documents","Specialize","Adapt")))))))</f>
      </c>
      <c r="G20" s="16"/>
      <c r="H20" s="20">
        <f>IF(IF(G20="",F20,G20)="","",INDEX(Lists!$B$43:$B$50,MATCH(IF(G20="",F20,G20),Lists!$A$43:$A$50,0)))</f>
      </c>
      <c r="I20" s="20">
        <f>IF(IF(G20="",F20,G20)="","",INDEX(Lists!$C$43:$C$50,MATCH(IF(G20="",F20,G20),Lists!$A$43:$A$50,0)))</f>
      </c>
      <c r="J20" s="16"/>
      <c r="K20" s="17"/>
      <c r="L20" s="20">
        <f>IF('Eight questions'!E20="","",IF('Eight questions'!E20="Must work offline","Yes - rules out anything cloud-only",IF('Eight questions'!E20="Intermittent","Partly - needs offline tolerance","No")))</f>
      </c>
      <c r="M20" s="20">
        <f>IF('Eight questions'!C20="","",IF(OR('Eight questions'!C20="A schedule",'Eight questions'!C20="A system event"),"Yes - rules out anything needing an interactive session","No"))</f>
      </c>
      <c r="N20" s="20">
        <f>IF('Eight questions'!J20="","",IF(OR('Eight questions'!J20="Regulated",'Eight questions'!J20="Confidential"),"Yes - private networking, a stated data location, or local inference","No"))</f>
      </c>
      <c r="O20" s="20">
        <f>IF(OR('Eight questions'!F20="",'Eight questions'!G20=""),"",IF(VALUE(LEFT('Eight questions'!F20,1))&gt;VALUE(LEFT('Eight questions'!G20,1)),"Yes - intended reach exceeds pilot reach","No"))</f>
      </c>
      <c r="P20" s="16"/>
      <c r="Q20" s="16"/>
      <c r="R20" s="20">
        <f>IF('Eight questions'!S20="","",IF('Eight questions'!S20="Yes","Persistent (advisory)","Ephemeral session (transactional)"))</f>
      </c>
      <c r="S20" s="16"/>
    </row>
    <row r="21" ht="30" customHeight="1" spans="1:19" x14ac:dyDescent="0.25">
      <c r="A21" s="20">
        <f>IF(Register!A21="","",Register!A21)</f>
      </c>
      <c r="B21" s="20">
        <f>IF(Register!C21="","",Register!C21)</f>
      </c>
      <c r="C21" s="20">
        <f>IF(IF(Register!U21="",Register!T21,Register!U21)="","",IF(OR(IF(Register!U21="",Register!T21,Register!U21)="Automation",IF(Register!U21="",Register!T21,Register!U21)="Predictive or optimisation"),"1 Not AI",IF(OR('Eight questions'!J21="Regulated",'Eight questions'!O21="Real-world effect",'Assurance and gate'!J21=4),"4 Pro-code",IF(AND('Eight questions'!Q21="Yes",OR('Eight questions'!L21="Nothing",'Eight questions'!L21="Static documents"),'Assurance and gate'!J21&lt;=2),"2 Ready-made","3 Low-code"))))</f>
      </c>
      <c r="D21" s="16"/>
      <c r="E21" s="20">
        <f>IF(IF(D21="",C21,D21)="","",IF(IF(D21="",C21,D21)="1 Not AI","Not AI. Automation platform for fixed rules; Fabric data science or Azure ML for forecasting, scoring and matching.",IF(IF(D21="",C21,D21)="4 Pro-code","Assurance read before category: regulated data, a real-world effect or a full assurance tier escalates the direction regardless of how simple the category looked.",IF(IF(D21="",C21,D21)="2 Ready-made","A published agent covers the function. Adopt and configure. Capped at retrieval and task.",IF(IF(D21="",C21,D21)="3 Low-code","Low-code with governed connectors and built-in responsible AI. Low-code supports autonomous agents - do not climb a rung you do not need.","Full stack control. Only when compliance or customisation demands it.")))))</f>
      </c>
      <c r="F21" s="20">
        <f>IF('Eight questions'!C21="","",IF(OR('Eight questions'!C21="A system event",'Eight questions'!C21="A schedule",'Eight questions'!C21="Another agent"),"Monitor",IF(OR('Eight questions'!F21="4 Enterprise",'Eight questions'!F21="5 External",'Eight questions'!J21="Regulated",'Eight questions'!O21="Real-world effect"),"Build",IF(AND('Eight questions'!C21="A person is already working",'Eight questions'!D21="Inside the tool they have open",'Eight questions'!O21="Read only"),"Assist",IF('Eight questions'!L21="Take an action","Delegate",IF('Eight questions'!O21="Writes to a system","Control",IF('Eight questions'!L21="Static documents","Specialize","Adapt")))))))</f>
      </c>
      <c r="G21" s="16"/>
      <c r="H21" s="20">
        <f>IF(IF(G21="",F21,G21)="","",INDEX(Lists!$B$43:$B$50,MATCH(IF(G21="",F21,G21),Lists!$A$43:$A$50,0)))</f>
      </c>
      <c r="I21" s="20">
        <f>IF(IF(G21="",F21,G21)="","",INDEX(Lists!$C$43:$C$50,MATCH(IF(G21="",F21,G21),Lists!$A$43:$A$50,0)))</f>
      </c>
      <c r="J21" s="16"/>
      <c r="K21" s="17"/>
      <c r="L21" s="20">
        <f>IF('Eight questions'!E21="","",IF('Eight questions'!E21="Must work offline","Yes - rules out anything cloud-only",IF('Eight questions'!E21="Intermittent","Partly - needs offline tolerance","No")))</f>
      </c>
      <c r="M21" s="20">
        <f>IF('Eight questions'!C21="","",IF(OR('Eight questions'!C21="A schedule",'Eight questions'!C21="A system event"),"Yes - rules out anything needing an interactive session","No"))</f>
      </c>
      <c r="N21" s="20">
        <f>IF('Eight questions'!J21="","",IF(OR('Eight questions'!J21="Regulated",'Eight questions'!J21="Confidential"),"Yes - private networking, a stated data location, or local inference","No"))</f>
      </c>
      <c r="O21" s="20">
        <f>IF(OR('Eight questions'!F21="",'Eight questions'!G21=""),"",IF(VALUE(LEFT('Eight questions'!F21,1))&gt;VALUE(LEFT('Eight questions'!G21,1)),"Yes - intended reach exceeds pilot reach","No"))</f>
      </c>
      <c r="P21" s="16"/>
      <c r="Q21" s="16"/>
      <c r="R21" s="20">
        <f>IF('Eight questions'!S21="","",IF('Eight questions'!S21="Yes","Persistent (advisory)","Ephemeral session (transactional)"))</f>
      </c>
      <c r="S21" s="16"/>
    </row>
    <row r="22" ht="30" customHeight="1" spans="1:19" x14ac:dyDescent="0.25">
      <c r="A22" s="20">
        <f>IF(Register!A22="","",Register!A22)</f>
      </c>
      <c r="B22" s="20">
        <f>IF(Register!C22="","",Register!C22)</f>
      </c>
      <c r="C22" s="20">
        <f>IF(IF(Register!U22="",Register!T22,Register!U22)="","",IF(OR(IF(Register!U22="",Register!T22,Register!U22)="Automation",IF(Register!U22="",Register!T22,Register!U22)="Predictive or optimisation"),"1 Not AI",IF(OR('Eight questions'!J22="Regulated",'Eight questions'!O22="Real-world effect",'Assurance and gate'!J22=4),"4 Pro-code",IF(AND('Eight questions'!Q22="Yes",OR('Eight questions'!L22="Nothing",'Eight questions'!L22="Static documents"),'Assurance and gate'!J22&lt;=2),"2 Ready-made","3 Low-code"))))</f>
      </c>
      <c r="D22" s="16"/>
      <c r="E22" s="20">
        <f>IF(IF(D22="",C22,D22)="","",IF(IF(D22="",C22,D22)="1 Not AI","Not AI. Automation platform for fixed rules; Fabric data science or Azure ML for forecasting, scoring and matching.",IF(IF(D22="",C22,D22)="4 Pro-code","Assurance read before category: regulated data, a real-world effect or a full assurance tier escalates the direction regardless of how simple the category looked.",IF(IF(D22="",C22,D22)="2 Ready-made","A published agent covers the function. Adopt and configure. Capped at retrieval and task.",IF(IF(D22="",C22,D22)="3 Low-code","Low-code with governed connectors and built-in responsible AI. Low-code supports autonomous agents - do not climb a rung you do not need.","Full stack control. Only when compliance or customisation demands it.")))))</f>
      </c>
      <c r="F22" s="20">
        <f>IF('Eight questions'!C22="","",IF(OR('Eight questions'!C22="A system event",'Eight questions'!C22="A schedule",'Eight questions'!C22="Another agent"),"Monitor",IF(OR('Eight questions'!F22="4 Enterprise",'Eight questions'!F22="5 External",'Eight questions'!J22="Regulated",'Eight questions'!O22="Real-world effect"),"Build",IF(AND('Eight questions'!C22="A person is already working",'Eight questions'!D22="Inside the tool they have open",'Eight questions'!O22="Read only"),"Assist",IF('Eight questions'!L22="Take an action","Delegate",IF('Eight questions'!O22="Writes to a system","Control",IF('Eight questions'!L22="Static documents","Specialize","Adapt")))))))</f>
      </c>
      <c r="G22" s="16"/>
      <c r="H22" s="20">
        <f>IF(IF(G22="",F22,G22)="","",INDEX(Lists!$B$43:$B$50,MATCH(IF(G22="",F22,G22),Lists!$A$43:$A$50,0)))</f>
      </c>
      <c r="I22" s="20">
        <f>IF(IF(G22="",F22,G22)="","",INDEX(Lists!$C$43:$C$50,MATCH(IF(G22="",F22,G22),Lists!$A$43:$A$50,0)))</f>
      </c>
      <c r="J22" s="16"/>
      <c r="K22" s="17"/>
      <c r="L22" s="20">
        <f>IF('Eight questions'!E22="","",IF('Eight questions'!E22="Must work offline","Yes - rules out anything cloud-only",IF('Eight questions'!E22="Intermittent","Partly - needs offline tolerance","No")))</f>
      </c>
      <c r="M22" s="20">
        <f>IF('Eight questions'!C22="","",IF(OR('Eight questions'!C22="A schedule",'Eight questions'!C22="A system event"),"Yes - rules out anything needing an interactive session","No"))</f>
      </c>
      <c r="N22" s="20">
        <f>IF('Eight questions'!J22="","",IF(OR('Eight questions'!J22="Regulated",'Eight questions'!J22="Confidential"),"Yes - private networking, a stated data location, or local inference","No"))</f>
      </c>
      <c r="O22" s="20">
        <f>IF(OR('Eight questions'!F22="",'Eight questions'!G22=""),"",IF(VALUE(LEFT('Eight questions'!F22,1))&gt;VALUE(LEFT('Eight questions'!G22,1)),"Yes - intended reach exceeds pilot reach","No"))</f>
      </c>
      <c r="P22" s="16"/>
      <c r="Q22" s="16"/>
      <c r="R22" s="20">
        <f>IF('Eight questions'!S22="","",IF('Eight questions'!S22="Yes","Persistent (advisory)","Ephemeral session (transactional)"))</f>
      </c>
      <c r="S22" s="16"/>
    </row>
    <row r="23" ht="30" customHeight="1" spans="1:19" x14ac:dyDescent="0.25">
      <c r="A23" s="20">
        <f>IF(Register!A23="","",Register!A23)</f>
      </c>
      <c r="B23" s="20">
        <f>IF(Register!C23="","",Register!C23)</f>
      </c>
      <c r="C23" s="20">
        <f>IF(IF(Register!U23="",Register!T23,Register!U23)="","",IF(OR(IF(Register!U23="",Register!T23,Register!U23)="Automation",IF(Register!U23="",Register!T23,Register!U23)="Predictive or optimisation"),"1 Not AI",IF(OR('Eight questions'!J23="Regulated",'Eight questions'!O23="Real-world effect",'Assurance and gate'!J23=4),"4 Pro-code",IF(AND('Eight questions'!Q23="Yes",OR('Eight questions'!L23="Nothing",'Eight questions'!L23="Static documents"),'Assurance and gate'!J23&lt;=2),"2 Ready-made","3 Low-code"))))</f>
      </c>
      <c r="D23" s="16"/>
      <c r="E23" s="20">
        <f>IF(IF(D23="",C23,D23)="","",IF(IF(D23="",C23,D23)="1 Not AI","Not AI. Automation platform for fixed rules; Fabric data science or Azure ML for forecasting, scoring and matching.",IF(IF(D23="",C23,D23)="4 Pro-code","Assurance read before category: regulated data, a real-world effect or a full assurance tier escalates the direction regardless of how simple the category looked.",IF(IF(D23="",C23,D23)="2 Ready-made","A published agent covers the function. Adopt and configure. Capped at retrieval and task.",IF(IF(D23="",C23,D23)="3 Low-code","Low-code with governed connectors and built-in responsible AI. Low-code supports autonomous agents - do not climb a rung you do not need.","Full stack control. Only when compliance or customisation demands it.")))))</f>
      </c>
      <c r="F23" s="20">
        <f>IF('Eight questions'!C23="","",IF(OR('Eight questions'!C23="A system event",'Eight questions'!C23="A schedule",'Eight questions'!C23="Another agent"),"Monitor",IF(OR('Eight questions'!F23="4 Enterprise",'Eight questions'!F23="5 External",'Eight questions'!J23="Regulated",'Eight questions'!O23="Real-world effect"),"Build",IF(AND('Eight questions'!C23="A person is already working",'Eight questions'!D23="Inside the tool they have open",'Eight questions'!O23="Read only"),"Assist",IF('Eight questions'!L23="Take an action","Delegate",IF('Eight questions'!O23="Writes to a system","Control",IF('Eight questions'!L23="Static documents","Specialize","Adapt")))))))</f>
      </c>
      <c r="G23" s="16"/>
      <c r="H23" s="20">
        <f>IF(IF(G23="",F23,G23)="","",INDEX(Lists!$B$43:$B$50,MATCH(IF(G23="",F23,G23),Lists!$A$43:$A$50,0)))</f>
      </c>
      <c r="I23" s="20">
        <f>IF(IF(G23="",F23,G23)="","",INDEX(Lists!$C$43:$C$50,MATCH(IF(G23="",F23,G23),Lists!$A$43:$A$50,0)))</f>
      </c>
      <c r="J23" s="16"/>
      <c r="K23" s="17"/>
      <c r="L23" s="20">
        <f>IF('Eight questions'!E23="","",IF('Eight questions'!E23="Must work offline","Yes - rules out anything cloud-only",IF('Eight questions'!E23="Intermittent","Partly - needs offline tolerance","No")))</f>
      </c>
      <c r="M23" s="20">
        <f>IF('Eight questions'!C23="","",IF(OR('Eight questions'!C23="A schedule",'Eight questions'!C23="A system event"),"Yes - rules out anything needing an interactive session","No"))</f>
      </c>
      <c r="N23" s="20">
        <f>IF('Eight questions'!J23="","",IF(OR('Eight questions'!J23="Regulated",'Eight questions'!J23="Confidential"),"Yes - private networking, a stated data location, or local inference","No"))</f>
      </c>
      <c r="O23" s="20">
        <f>IF(OR('Eight questions'!F23="",'Eight questions'!G23=""),"",IF(VALUE(LEFT('Eight questions'!F23,1))&gt;VALUE(LEFT('Eight questions'!G23,1)),"Yes - intended reach exceeds pilot reach","No"))</f>
      </c>
      <c r="P23" s="16"/>
      <c r="Q23" s="16"/>
      <c r="R23" s="20">
        <f>IF('Eight questions'!S23="","",IF('Eight questions'!S23="Yes","Persistent (advisory)","Ephemeral session (transactional)"))</f>
      </c>
      <c r="S23" s="16"/>
    </row>
    <row r="24" ht="30" customHeight="1" spans="1:19" x14ac:dyDescent="0.25">
      <c r="A24" s="20">
        <f>IF(Register!A24="","",Register!A24)</f>
      </c>
      <c r="B24" s="20">
        <f>IF(Register!C24="","",Register!C24)</f>
      </c>
      <c r="C24" s="20">
        <f>IF(IF(Register!U24="",Register!T24,Register!U24)="","",IF(OR(IF(Register!U24="",Register!T24,Register!U24)="Automation",IF(Register!U24="",Register!T24,Register!U24)="Predictive or optimisation"),"1 Not AI",IF(OR('Eight questions'!J24="Regulated",'Eight questions'!O24="Real-world effect",'Assurance and gate'!J24=4),"4 Pro-code",IF(AND('Eight questions'!Q24="Yes",OR('Eight questions'!L24="Nothing",'Eight questions'!L24="Static documents"),'Assurance and gate'!J24&lt;=2),"2 Ready-made","3 Low-code"))))</f>
      </c>
      <c r="D24" s="16"/>
      <c r="E24" s="20">
        <f>IF(IF(D24="",C24,D24)="","",IF(IF(D24="",C24,D24)="1 Not AI","Not AI. Automation platform for fixed rules; Fabric data science or Azure ML for forecasting, scoring and matching.",IF(IF(D24="",C24,D24)="4 Pro-code","Assurance read before category: regulated data, a real-world effect or a full assurance tier escalates the direction regardless of how simple the category looked.",IF(IF(D24="",C24,D24)="2 Ready-made","A published agent covers the function. Adopt and configure. Capped at retrieval and task.",IF(IF(D24="",C24,D24)="3 Low-code","Low-code with governed connectors and built-in responsible AI. Low-code supports autonomous agents - do not climb a rung you do not need.","Full stack control. Only when compliance or customisation demands it.")))))</f>
      </c>
      <c r="F24" s="20">
        <f>IF('Eight questions'!C24="","",IF(OR('Eight questions'!C24="A system event",'Eight questions'!C24="A schedule",'Eight questions'!C24="Another agent"),"Monitor",IF(OR('Eight questions'!F24="4 Enterprise",'Eight questions'!F24="5 External",'Eight questions'!J24="Regulated",'Eight questions'!O24="Real-world effect"),"Build",IF(AND('Eight questions'!C24="A person is already working",'Eight questions'!D24="Inside the tool they have open",'Eight questions'!O24="Read only"),"Assist",IF('Eight questions'!L24="Take an action","Delegate",IF('Eight questions'!O24="Writes to a system","Control",IF('Eight questions'!L24="Static documents","Specialize","Adapt")))))))</f>
      </c>
      <c r="G24" s="16"/>
      <c r="H24" s="20">
        <f>IF(IF(G24="",F24,G24)="","",INDEX(Lists!$B$43:$B$50,MATCH(IF(G24="",F24,G24),Lists!$A$43:$A$50,0)))</f>
      </c>
      <c r="I24" s="20">
        <f>IF(IF(G24="",F24,G24)="","",INDEX(Lists!$C$43:$C$50,MATCH(IF(G24="",F24,G24),Lists!$A$43:$A$50,0)))</f>
      </c>
      <c r="J24" s="16"/>
      <c r="K24" s="17"/>
      <c r="L24" s="20">
        <f>IF('Eight questions'!E24="","",IF('Eight questions'!E24="Must work offline","Yes - rules out anything cloud-only",IF('Eight questions'!E24="Intermittent","Partly - needs offline tolerance","No")))</f>
      </c>
      <c r="M24" s="20">
        <f>IF('Eight questions'!C24="","",IF(OR('Eight questions'!C24="A schedule",'Eight questions'!C24="A system event"),"Yes - rules out anything needing an interactive session","No"))</f>
      </c>
      <c r="N24" s="20">
        <f>IF('Eight questions'!J24="","",IF(OR('Eight questions'!J24="Regulated",'Eight questions'!J24="Confidential"),"Yes - private networking, a stated data location, or local inference","No"))</f>
      </c>
      <c r="O24" s="20">
        <f>IF(OR('Eight questions'!F24="",'Eight questions'!G24=""),"",IF(VALUE(LEFT('Eight questions'!F24,1))&gt;VALUE(LEFT('Eight questions'!G24,1)),"Yes - intended reach exceeds pilot reach","No"))</f>
      </c>
      <c r="P24" s="16"/>
      <c r="Q24" s="16"/>
      <c r="R24" s="20">
        <f>IF('Eight questions'!S24="","",IF('Eight questions'!S24="Yes","Persistent (advisory)","Ephemeral session (transactional)"))</f>
      </c>
      <c r="S24" s="16"/>
    </row>
    <row r="25" ht="30" customHeight="1" spans="1:19" x14ac:dyDescent="0.25">
      <c r="A25" s="20">
        <f>IF(Register!A25="","",Register!A25)</f>
      </c>
      <c r="B25" s="20">
        <f>IF(Register!C25="","",Register!C25)</f>
      </c>
      <c r="C25" s="20">
        <f>IF(IF(Register!U25="",Register!T25,Register!U25)="","",IF(OR(IF(Register!U25="",Register!T25,Register!U25)="Automation",IF(Register!U25="",Register!T25,Register!U25)="Predictive or optimisation"),"1 Not AI",IF(OR('Eight questions'!J25="Regulated",'Eight questions'!O25="Real-world effect",'Assurance and gate'!J25=4),"4 Pro-code",IF(AND('Eight questions'!Q25="Yes",OR('Eight questions'!L25="Nothing",'Eight questions'!L25="Static documents"),'Assurance and gate'!J25&lt;=2),"2 Ready-made","3 Low-code"))))</f>
      </c>
      <c r="D25" s="16"/>
      <c r="E25" s="20">
        <f>IF(IF(D25="",C25,D25)="","",IF(IF(D25="",C25,D25)="1 Not AI","Not AI. Automation platform for fixed rules; Fabric data science or Azure ML for forecasting, scoring and matching.",IF(IF(D25="",C25,D25)="4 Pro-code","Assurance read before category: regulated data, a real-world effect or a full assurance tier escalates the direction regardless of how simple the category looked.",IF(IF(D25="",C25,D25)="2 Ready-made","A published agent covers the function. Adopt and configure. Capped at retrieval and task.",IF(IF(D25="",C25,D25)="3 Low-code","Low-code with governed connectors and built-in responsible AI. Low-code supports autonomous agents - do not climb a rung you do not need.","Full stack control. Only when compliance or customisation demands it.")))))</f>
      </c>
      <c r="F25" s="20">
        <f>IF('Eight questions'!C25="","",IF(OR('Eight questions'!C25="A system event",'Eight questions'!C25="A schedule",'Eight questions'!C25="Another agent"),"Monitor",IF(OR('Eight questions'!F25="4 Enterprise",'Eight questions'!F25="5 External",'Eight questions'!J25="Regulated",'Eight questions'!O25="Real-world effect"),"Build",IF(AND('Eight questions'!C25="A person is already working",'Eight questions'!D25="Inside the tool they have open",'Eight questions'!O25="Read only"),"Assist",IF('Eight questions'!L25="Take an action","Delegate",IF('Eight questions'!O25="Writes to a system","Control",IF('Eight questions'!L25="Static documents","Specialize","Adapt")))))))</f>
      </c>
      <c r="G25" s="16"/>
      <c r="H25" s="20">
        <f>IF(IF(G25="",F25,G25)="","",INDEX(Lists!$B$43:$B$50,MATCH(IF(G25="",F25,G25),Lists!$A$43:$A$50,0)))</f>
      </c>
      <c r="I25" s="20">
        <f>IF(IF(G25="",F25,G25)="","",INDEX(Lists!$C$43:$C$50,MATCH(IF(G25="",F25,G25),Lists!$A$43:$A$50,0)))</f>
      </c>
      <c r="J25" s="16"/>
      <c r="K25" s="17"/>
      <c r="L25" s="20">
        <f>IF('Eight questions'!E25="","",IF('Eight questions'!E25="Must work offline","Yes - rules out anything cloud-only",IF('Eight questions'!E25="Intermittent","Partly - needs offline tolerance","No")))</f>
      </c>
      <c r="M25" s="20">
        <f>IF('Eight questions'!C25="","",IF(OR('Eight questions'!C25="A schedule",'Eight questions'!C25="A system event"),"Yes - rules out anything needing an interactive session","No"))</f>
      </c>
      <c r="N25" s="20">
        <f>IF('Eight questions'!J25="","",IF(OR('Eight questions'!J25="Regulated",'Eight questions'!J25="Confidential"),"Yes - private networking, a stated data location, or local inference","No"))</f>
      </c>
      <c r="O25" s="20">
        <f>IF(OR('Eight questions'!F25="",'Eight questions'!G25=""),"",IF(VALUE(LEFT('Eight questions'!F25,1))&gt;VALUE(LEFT('Eight questions'!G25,1)),"Yes - intended reach exceeds pilot reach","No"))</f>
      </c>
      <c r="P25" s="16"/>
      <c r="Q25" s="16"/>
      <c r="R25" s="20">
        <f>IF('Eight questions'!S25="","",IF('Eight questions'!S25="Yes","Persistent (advisory)","Ephemeral session (transactional)"))</f>
      </c>
      <c r="S25" s="16"/>
    </row>
    <row r="26" ht="30" customHeight="1" spans="1:19" x14ac:dyDescent="0.25">
      <c r="A26" s="20">
        <f>IF(Register!A26="","",Register!A26)</f>
      </c>
      <c r="B26" s="20">
        <f>IF(Register!C26="","",Register!C26)</f>
      </c>
      <c r="C26" s="20">
        <f>IF(IF(Register!U26="",Register!T26,Register!U26)="","",IF(OR(IF(Register!U26="",Register!T26,Register!U26)="Automation",IF(Register!U26="",Register!T26,Register!U26)="Predictive or optimisation"),"1 Not AI",IF(OR('Eight questions'!J26="Regulated",'Eight questions'!O26="Real-world effect",'Assurance and gate'!J26=4),"4 Pro-code",IF(AND('Eight questions'!Q26="Yes",OR('Eight questions'!L26="Nothing",'Eight questions'!L26="Static documents"),'Assurance and gate'!J26&lt;=2),"2 Ready-made","3 Low-code"))))</f>
      </c>
      <c r="D26" s="16"/>
      <c r="E26" s="20">
        <f>IF(IF(D26="",C26,D26)="","",IF(IF(D26="",C26,D26)="1 Not AI","Not AI. Automation platform for fixed rules; Fabric data science or Azure ML for forecasting, scoring and matching.",IF(IF(D26="",C26,D26)="4 Pro-code","Assurance read before category: regulated data, a real-world effect or a full assurance tier escalates the direction regardless of how simple the category looked.",IF(IF(D26="",C26,D26)="2 Ready-made","A published agent covers the function. Adopt and configure. Capped at retrieval and task.",IF(IF(D26="",C26,D26)="3 Low-code","Low-code with governed connectors and built-in responsible AI. Low-code supports autonomous agents - do not climb a rung you do not need.","Full stack control. Only when compliance or customisation demands it.")))))</f>
      </c>
      <c r="F26" s="20">
        <f>IF('Eight questions'!C26="","",IF(OR('Eight questions'!C26="A system event",'Eight questions'!C26="A schedule",'Eight questions'!C26="Another agent"),"Monitor",IF(OR('Eight questions'!F26="4 Enterprise",'Eight questions'!F26="5 External",'Eight questions'!J26="Regulated",'Eight questions'!O26="Real-world effect"),"Build",IF(AND('Eight questions'!C26="A person is already working",'Eight questions'!D26="Inside the tool they have open",'Eight questions'!O26="Read only"),"Assist",IF('Eight questions'!L26="Take an action","Delegate",IF('Eight questions'!O26="Writes to a system","Control",IF('Eight questions'!L26="Static documents","Specialize","Adapt")))))))</f>
      </c>
      <c r="G26" s="16"/>
      <c r="H26" s="20">
        <f>IF(IF(G26="",F26,G26)="","",INDEX(Lists!$B$43:$B$50,MATCH(IF(G26="",F26,G26),Lists!$A$43:$A$50,0)))</f>
      </c>
      <c r="I26" s="20">
        <f>IF(IF(G26="",F26,G26)="","",INDEX(Lists!$C$43:$C$50,MATCH(IF(G26="",F26,G26),Lists!$A$43:$A$50,0)))</f>
      </c>
      <c r="J26" s="16"/>
      <c r="K26" s="17"/>
      <c r="L26" s="20">
        <f>IF('Eight questions'!E26="","",IF('Eight questions'!E26="Must work offline","Yes - rules out anything cloud-only",IF('Eight questions'!E26="Intermittent","Partly - needs offline tolerance","No")))</f>
      </c>
      <c r="M26" s="20">
        <f>IF('Eight questions'!C26="","",IF(OR('Eight questions'!C26="A schedule",'Eight questions'!C26="A system event"),"Yes - rules out anything needing an interactive session","No"))</f>
      </c>
      <c r="N26" s="20">
        <f>IF('Eight questions'!J26="","",IF(OR('Eight questions'!J26="Regulated",'Eight questions'!J26="Confidential"),"Yes - private networking, a stated data location, or local inference","No"))</f>
      </c>
      <c r="O26" s="20">
        <f>IF(OR('Eight questions'!F26="",'Eight questions'!G26=""),"",IF(VALUE(LEFT('Eight questions'!F26,1))&gt;VALUE(LEFT('Eight questions'!G26,1)),"Yes - intended reach exceeds pilot reach","No"))</f>
      </c>
      <c r="P26" s="16"/>
      <c r="Q26" s="16"/>
      <c r="R26" s="20">
        <f>IF('Eight questions'!S26="","",IF('Eight questions'!S26="Yes","Persistent (advisory)","Ephemeral session (transactional)"))</f>
      </c>
      <c r="S26" s="16"/>
    </row>
    <row r="27" ht="30" customHeight="1" spans="1:19" x14ac:dyDescent="0.25">
      <c r="A27" s="20">
        <f>IF(Register!A27="","",Register!A27)</f>
      </c>
      <c r="B27" s="20">
        <f>IF(Register!C27="","",Register!C27)</f>
      </c>
      <c r="C27" s="20">
        <f>IF(IF(Register!U27="",Register!T27,Register!U27)="","",IF(OR(IF(Register!U27="",Register!T27,Register!U27)="Automation",IF(Register!U27="",Register!T27,Register!U27)="Predictive or optimisation"),"1 Not AI",IF(OR('Eight questions'!J27="Regulated",'Eight questions'!O27="Real-world effect",'Assurance and gate'!J27=4),"4 Pro-code",IF(AND('Eight questions'!Q27="Yes",OR('Eight questions'!L27="Nothing",'Eight questions'!L27="Static documents"),'Assurance and gate'!J27&lt;=2),"2 Ready-made","3 Low-code"))))</f>
      </c>
      <c r="D27" s="16"/>
      <c r="E27" s="20">
        <f>IF(IF(D27="",C27,D27)="","",IF(IF(D27="",C27,D27)="1 Not AI","Not AI. Automation platform for fixed rules; Fabric data science or Azure ML for forecasting, scoring and matching.",IF(IF(D27="",C27,D27)="4 Pro-code","Assurance read before category: regulated data, a real-world effect or a full assurance tier escalates the direction regardless of how simple the category looked.",IF(IF(D27="",C27,D27)="2 Ready-made","A published agent covers the function. Adopt and configure. Capped at retrieval and task.",IF(IF(D27="",C27,D27)="3 Low-code","Low-code with governed connectors and built-in responsible AI. Low-code supports autonomous agents - do not climb a rung you do not need.","Full stack control. Only when compliance or customisation demands it.")))))</f>
      </c>
      <c r="F27" s="20">
        <f>IF('Eight questions'!C27="","",IF(OR('Eight questions'!C27="A system event",'Eight questions'!C27="A schedule",'Eight questions'!C27="Another agent"),"Monitor",IF(OR('Eight questions'!F27="4 Enterprise",'Eight questions'!F27="5 External",'Eight questions'!J27="Regulated",'Eight questions'!O27="Real-world effect"),"Build",IF(AND('Eight questions'!C27="A person is already working",'Eight questions'!D27="Inside the tool they have open",'Eight questions'!O27="Read only"),"Assist",IF('Eight questions'!L27="Take an action","Delegate",IF('Eight questions'!O27="Writes to a system","Control",IF('Eight questions'!L27="Static documents","Specialize","Adapt")))))))</f>
      </c>
      <c r="G27" s="16"/>
      <c r="H27" s="20">
        <f>IF(IF(G27="",F27,G27)="","",INDEX(Lists!$B$43:$B$50,MATCH(IF(G27="",F27,G27),Lists!$A$43:$A$50,0)))</f>
      </c>
      <c r="I27" s="20">
        <f>IF(IF(G27="",F27,G27)="","",INDEX(Lists!$C$43:$C$50,MATCH(IF(G27="",F27,G27),Lists!$A$43:$A$50,0)))</f>
      </c>
      <c r="J27" s="16"/>
      <c r="K27" s="17"/>
      <c r="L27" s="20">
        <f>IF('Eight questions'!E27="","",IF('Eight questions'!E27="Must work offline","Yes - rules out anything cloud-only",IF('Eight questions'!E27="Intermittent","Partly - needs offline tolerance","No")))</f>
      </c>
      <c r="M27" s="20">
        <f>IF('Eight questions'!C27="","",IF(OR('Eight questions'!C27="A schedule",'Eight questions'!C27="A system event"),"Yes - rules out anything needing an interactive session","No"))</f>
      </c>
      <c r="N27" s="20">
        <f>IF('Eight questions'!J27="","",IF(OR('Eight questions'!J27="Regulated",'Eight questions'!J27="Confidential"),"Yes - private networking, a stated data location, or local inference","No"))</f>
      </c>
      <c r="O27" s="20">
        <f>IF(OR('Eight questions'!F27="",'Eight questions'!G27=""),"",IF(VALUE(LEFT('Eight questions'!F27,1))&gt;VALUE(LEFT('Eight questions'!G27,1)),"Yes - intended reach exceeds pilot reach","No"))</f>
      </c>
      <c r="P27" s="16"/>
      <c r="Q27" s="16"/>
      <c r="R27" s="20">
        <f>IF('Eight questions'!S27="","",IF('Eight questions'!S27="Yes","Persistent (advisory)","Ephemeral session (transactional)"))</f>
      </c>
      <c r="S27" s="16"/>
    </row>
    <row r="28" ht="30" customHeight="1" spans="1:19" x14ac:dyDescent="0.25">
      <c r="A28" s="20">
        <f>IF(Register!A28="","",Register!A28)</f>
      </c>
      <c r="B28" s="20">
        <f>IF(Register!C28="","",Register!C28)</f>
      </c>
      <c r="C28" s="20">
        <f>IF(IF(Register!U28="",Register!T28,Register!U28)="","",IF(OR(IF(Register!U28="",Register!T28,Register!U28)="Automation",IF(Register!U28="",Register!T28,Register!U28)="Predictive or optimisation"),"1 Not AI",IF(OR('Eight questions'!J28="Regulated",'Eight questions'!O28="Real-world effect",'Assurance and gate'!J28=4),"4 Pro-code",IF(AND('Eight questions'!Q28="Yes",OR('Eight questions'!L28="Nothing",'Eight questions'!L28="Static documents"),'Assurance and gate'!J28&lt;=2),"2 Ready-made","3 Low-code"))))</f>
      </c>
      <c r="D28" s="16"/>
      <c r="E28" s="20">
        <f>IF(IF(D28="",C28,D28)="","",IF(IF(D28="",C28,D28)="1 Not AI","Not AI. Automation platform for fixed rules; Fabric data science or Azure ML for forecasting, scoring and matching.",IF(IF(D28="",C28,D28)="4 Pro-code","Assurance read before category: regulated data, a real-world effect or a full assurance tier escalates the direction regardless of how simple the category looked.",IF(IF(D28="",C28,D28)="2 Ready-made","A published agent covers the function. Adopt and configure. Capped at retrieval and task.",IF(IF(D28="",C28,D28)="3 Low-code","Low-code with governed connectors and built-in responsible AI. Low-code supports autonomous agents - do not climb a rung you do not need.","Full stack control. Only when compliance or customisation demands it.")))))</f>
      </c>
      <c r="F28" s="20">
        <f>IF('Eight questions'!C28="","",IF(OR('Eight questions'!C28="A system event",'Eight questions'!C28="A schedule",'Eight questions'!C28="Another agent"),"Monitor",IF(OR('Eight questions'!F28="4 Enterprise",'Eight questions'!F28="5 External",'Eight questions'!J28="Regulated",'Eight questions'!O28="Real-world effect"),"Build",IF(AND('Eight questions'!C28="A person is already working",'Eight questions'!D28="Inside the tool they have open",'Eight questions'!O28="Read only"),"Assist",IF('Eight questions'!L28="Take an action","Delegate",IF('Eight questions'!O28="Writes to a system","Control",IF('Eight questions'!L28="Static documents","Specialize","Adapt")))))))</f>
      </c>
      <c r="G28" s="16"/>
      <c r="H28" s="20">
        <f>IF(IF(G28="",F28,G28)="","",INDEX(Lists!$B$43:$B$50,MATCH(IF(G28="",F28,G28),Lists!$A$43:$A$50,0)))</f>
      </c>
      <c r="I28" s="20">
        <f>IF(IF(G28="",F28,G28)="","",INDEX(Lists!$C$43:$C$50,MATCH(IF(G28="",F28,G28),Lists!$A$43:$A$50,0)))</f>
      </c>
      <c r="J28" s="16"/>
      <c r="K28" s="17"/>
      <c r="L28" s="20">
        <f>IF('Eight questions'!E28="","",IF('Eight questions'!E28="Must work offline","Yes - rules out anything cloud-only",IF('Eight questions'!E28="Intermittent","Partly - needs offline tolerance","No")))</f>
      </c>
      <c r="M28" s="20">
        <f>IF('Eight questions'!C28="","",IF(OR('Eight questions'!C28="A schedule",'Eight questions'!C28="A system event"),"Yes - rules out anything needing an interactive session","No"))</f>
      </c>
      <c r="N28" s="20">
        <f>IF('Eight questions'!J28="","",IF(OR('Eight questions'!J28="Regulated",'Eight questions'!J28="Confidential"),"Yes - private networking, a stated data location, or local inference","No"))</f>
      </c>
      <c r="O28" s="20">
        <f>IF(OR('Eight questions'!F28="",'Eight questions'!G28=""),"",IF(VALUE(LEFT('Eight questions'!F28,1))&gt;VALUE(LEFT('Eight questions'!G28,1)),"Yes - intended reach exceeds pilot reach","No"))</f>
      </c>
      <c r="P28" s="16"/>
      <c r="Q28" s="16"/>
      <c r="R28" s="20">
        <f>IF('Eight questions'!S28="","",IF('Eight questions'!S28="Yes","Persistent (advisory)","Ephemeral session (transactional)"))</f>
      </c>
      <c r="S28" s="16"/>
    </row>
    <row r="29" ht="30" customHeight="1" spans="1:19" x14ac:dyDescent="0.25">
      <c r="A29" s="20">
        <f>IF(Register!A29="","",Register!A29)</f>
      </c>
      <c r="B29" s="20">
        <f>IF(Register!C29="","",Register!C29)</f>
      </c>
      <c r="C29" s="20">
        <f>IF(IF(Register!U29="",Register!T29,Register!U29)="","",IF(OR(IF(Register!U29="",Register!T29,Register!U29)="Automation",IF(Register!U29="",Register!T29,Register!U29)="Predictive or optimisation"),"1 Not AI",IF(OR('Eight questions'!J29="Regulated",'Eight questions'!O29="Real-world effect",'Assurance and gate'!J29=4),"4 Pro-code",IF(AND('Eight questions'!Q29="Yes",OR('Eight questions'!L29="Nothing",'Eight questions'!L29="Static documents"),'Assurance and gate'!J29&lt;=2),"2 Ready-made","3 Low-code"))))</f>
      </c>
      <c r="D29" s="16"/>
      <c r="E29" s="20">
        <f>IF(IF(D29="",C29,D29)="","",IF(IF(D29="",C29,D29)="1 Not AI","Not AI. Automation platform for fixed rules; Fabric data science or Azure ML for forecasting, scoring and matching.",IF(IF(D29="",C29,D29)="4 Pro-code","Assurance read before category: regulated data, a real-world effect or a full assurance tier escalates the direction regardless of how simple the category looked.",IF(IF(D29="",C29,D29)="2 Ready-made","A published agent covers the function. Adopt and configure. Capped at retrieval and task.",IF(IF(D29="",C29,D29)="3 Low-code","Low-code with governed connectors and built-in responsible AI. Low-code supports autonomous agents - do not climb a rung you do not need.","Full stack control. Only when compliance or customisation demands it.")))))</f>
      </c>
      <c r="F29" s="20">
        <f>IF('Eight questions'!C29="","",IF(OR('Eight questions'!C29="A system event",'Eight questions'!C29="A schedule",'Eight questions'!C29="Another agent"),"Monitor",IF(OR('Eight questions'!F29="4 Enterprise",'Eight questions'!F29="5 External",'Eight questions'!J29="Regulated",'Eight questions'!O29="Real-world effect"),"Build",IF(AND('Eight questions'!C29="A person is already working",'Eight questions'!D29="Inside the tool they have open",'Eight questions'!O29="Read only"),"Assist",IF('Eight questions'!L29="Take an action","Delegate",IF('Eight questions'!O29="Writes to a system","Control",IF('Eight questions'!L29="Static documents","Specialize","Adapt")))))))</f>
      </c>
      <c r="G29" s="16"/>
      <c r="H29" s="20">
        <f>IF(IF(G29="",F29,G29)="","",INDEX(Lists!$B$43:$B$50,MATCH(IF(G29="",F29,G29),Lists!$A$43:$A$50,0)))</f>
      </c>
      <c r="I29" s="20">
        <f>IF(IF(G29="",F29,G29)="","",INDEX(Lists!$C$43:$C$50,MATCH(IF(G29="",F29,G29),Lists!$A$43:$A$50,0)))</f>
      </c>
      <c r="J29" s="16"/>
      <c r="K29" s="17"/>
      <c r="L29" s="20">
        <f>IF('Eight questions'!E29="","",IF('Eight questions'!E29="Must work offline","Yes - rules out anything cloud-only",IF('Eight questions'!E29="Intermittent","Partly - needs offline tolerance","No")))</f>
      </c>
      <c r="M29" s="20">
        <f>IF('Eight questions'!C29="","",IF(OR('Eight questions'!C29="A schedule",'Eight questions'!C29="A system event"),"Yes - rules out anything needing an interactive session","No"))</f>
      </c>
      <c r="N29" s="20">
        <f>IF('Eight questions'!J29="","",IF(OR('Eight questions'!J29="Regulated",'Eight questions'!J29="Confidential"),"Yes - private networking, a stated data location, or local inference","No"))</f>
      </c>
      <c r="O29" s="20">
        <f>IF(OR('Eight questions'!F29="",'Eight questions'!G29=""),"",IF(VALUE(LEFT('Eight questions'!F29,1))&gt;VALUE(LEFT('Eight questions'!G29,1)),"Yes - intended reach exceeds pilot reach","No"))</f>
      </c>
      <c r="P29" s="16"/>
      <c r="Q29" s="16"/>
      <c r="R29" s="20">
        <f>IF('Eight questions'!S29="","",IF('Eight questions'!S29="Yes","Persistent (advisory)","Ephemeral session (transactional)"))</f>
      </c>
      <c r="S29" s="16"/>
    </row>
    <row r="30" ht="30" customHeight="1" spans="1:19" x14ac:dyDescent="0.25">
      <c r="A30" s="20">
        <f>IF(Register!A30="","",Register!A30)</f>
      </c>
      <c r="B30" s="20">
        <f>IF(Register!C30="","",Register!C30)</f>
      </c>
      <c r="C30" s="20">
        <f>IF(IF(Register!U30="",Register!T30,Register!U30)="","",IF(OR(IF(Register!U30="",Register!T30,Register!U30)="Automation",IF(Register!U30="",Register!T30,Register!U30)="Predictive or optimisation"),"1 Not AI",IF(OR('Eight questions'!J30="Regulated",'Eight questions'!O30="Real-world effect",'Assurance and gate'!J30=4),"4 Pro-code",IF(AND('Eight questions'!Q30="Yes",OR('Eight questions'!L30="Nothing",'Eight questions'!L30="Static documents"),'Assurance and gate'!J30&lt;=2),"2 Ready-made","3 Low-code"))))</f>
      </c>
      <c r="D30" s="16"/>
      <c r="E30" s="20">
        <f>IF(IF(D30="",C30,D30)="","",IF(IF(D30="",C30,D30)="1 Not AI","Not AI. Automation platform for fixed rules; Fabric data science or Azure ML for forecasting, scoring and matching.",IF(IF(D30="",C30,D30)="4 Pro-code","Assurance read before category: regulated data, a real-world effect or a full assurance tier escalates the direction regardless of how simple the category looked.",IF(IF(D30="",C30,D30)="2 Ready-made","A published agent covers the function. Adopt and configure. Capped at retrieval and task.",IF(IF(D30="",C30,D30)="3 Low-code","Low-code with governed connectors and built-in responsible AI. Low-code supports autonomous agents - do not climb a rung you do not need.","Full stack control. Only when compliance or customisation demands it.")))))</f>
      </c>
      <c r="F30" s="20">
        <f>IF('Eight questions'!C30="","",IF(OR('Eight questions'!C30="A system event",'Eight questions'!C30="A schedule",'Eight questions'!C30="Another agent"),"Monitor",IF(OR('Eight questions'!F30="4 Enterprise",'Eight questions'!F30="5 External",'Eight questions'!J30="Regulated",'Eight questions'!O30="Real-world effect"),"Build",IF(AND('Eight questions'!C30="A person is already working",'Eight questions'!D30="Inside the tool they have open",'Eight questions'!O30="Read only"),"Assist",IF('Eight questions'!L30="Take an action","Delegate",IF('Eight questions'!O30="Writes to a system","Control",IF('Eight questions'!L30="Static documents","Specialize","Adapt")))))))</f>
      </c>
      <c r="G30" s="16"/>
      <c r="H30" s="20">
        <f>IF(IF(G30="",F30,G30)="","",INDEX(Lists!$B$43:$B$50,MATCH(IF(G30="",F30,G30),Lists!$A$43:$A$50,0)))</f>
      </c>
      <c r="I30" s="20">
        <f>IF(IF(G30="",F30,G30)="","",INDEX(Lists!$C$43:$C$50,MATCH(IF(G30="",F30,G30),Lists!$A$43:$A$50,0)))</f>
      </c>
      <c r="J30" s="16"/>
      <c r="K30" s="17"/>
      <c r="L30" s="20">
        <f>IF('Eight questions'!E30="","",IF('Eight questions'!E30="Must work offline","Yes - rules out anything cloud-only",IF('Eight questions'!E30="Intermittent","Partly - needs offline tolerance","No")))</f>
      </c>
      <c r="M30" s="20">
        <f>IF('Eight questions'!C30="","",IF(OR('Eight questions'!C30="A schedule",'Eight questions'!C30="A system event"),"Yes - rules out anything needing an interactive session","No"))</f>
      </c>
      <c r="N30" s="20">
        <f>IF('Eight questions'!J30="","",IF(OR('Eight questions'!J30="Regulated",'Eight questions'!J30="Confidential"),"Yes - private networking, a stated data location, or local inference","No"))</f>
      </c>
      <c r="O30" s="20">
        <f>IF(OR('Eight questions'!F30="",'Eight questions'!G30=""),"",IF(VALUE(LEFT('Eight questions'!F30,1))&gt;VALUE(LEFT('Eight questions'!G30,1)),"Yes - intended reach exceeds pilot reach","No"))</f>
      </c>
      <c r="P30" s="16"/>
      <c r="Q30" s="16"/>
      <c r="R30" s="20">
        <f>IF('Eight questions'!S30="","",IF('Eight questions'!S30="Yes","Persistent (advisory)","Ephemeral session (transactional)"))</f>
      </c>
      <c r="S30" s="16"/>
    </row>
    <row r="31" ht="30" customHeight="1" spans="1:19" x14ac:dyDescent="0.25">
      <c r="A31" s="20">
        <f>IF(Register!A31="","",Register!A31)</f>
      </c>
      <c r="B31" s="20">
        <f>IF(Register!C31="","",Register!C31)</f>
      </c>
      <c r="C31" s="20">
        <f>IF(IF(Register!U31="",Register!T31,Register!U31)="","",IF(OR(IF(Register!U31="",Register!T31,Register!U31)="Automation",IF(Register!U31="",Register!T31,Register!U31)="Predictive or optimisation"),"1 Not AI",IF(OR('Eight questions'!J31="Regulated",'Eight questions'!O31="Real-world effect",'Assurance and gate'!J31=4),"4 Pro-code",IF(AND('Eight questions'!Q31="Yes",OR('Eight questions'!L31="Nothing",'Eight questions'!L31="Static documents"),'Assurance and gate'!J31&lt;=2),"2 Ready-made","3 Low-code"))))</f>
      </c>
      <c r="D31" s="16"/>
      <c r="E31" s="20">
        <f>IF(IF(D31="",C31,D31)="","",IF(IF(D31="",C31,D31)="1 Not AI","Not AI. Automation platform for fixed rules; Fabric data science or Azure ML for forecasting, scoring and matching.",IF(IF(D31="",C31,D31)="4 Pro-code","Assurance read before category: regulated data, a real-world effect or a full assurance tier escalates the direction regardless of how simple the category looked.",IF(IF(D31="",C31,D31)="2 Ready-made","A published agent covers the function. Adopt and configure. Capped at retrieval and task.",IF(IF(D31="",C31,D31)="3 Low-code","Low-code with governed connectors and built-in responsible AI. Low-code supports autonomous agents - do not climb a rung you do not need.","Full stack control. Only when compliance or customisation demands it.")))))</f>
      </c>
      <c r="F31" s="20">
        <f>IF('Eight questions'!C31="","",IF(OR('Eight questions'!C31="A system event",'Eight questions'!C31="A schedule",'Eight questions'!C31="Another agent"),"Monitor",IF(OR('Eight questions'!F31="4 Enterprise",'Eight questions'!F31="5 External",'Eight questions'!J31="Regulated",'Eight questions'!O31="Real-world effect"),"Build",IF(AND('Eight questions'!C31="A person is already working",'Eight questions'!D31="Inside the tool they have open",'Eight questions'!O31="Read only"),"Assist",IF('Eight questions'!L31="Take an action","Delegate",IF('Eight questions'!O31="Writes to a system","Control",IF('Eight questions'!L31="Static documents","Specialize","Adapt")))))))</f>
      </c>
      <c r="G31" s="16"/>
      <c r="H31" s="20">
        <f>IF(IF(G31="",F31,G31)="","",INDEX(Lists!$B$43:$B$50,MATCH(IF(G31="",F31,G31),Lists!$A$43:$A$50,0)))</f>
      </c>
      <c r="I31" s="20">
        <f>IF(IF(G31="",F31,G31)="","",INDEX(Lists!$C$43:$C$50,MATCH(IF(G31="",F31,G31),Lists!$A$43:$A$50,0)))</f>
      </c>
      <c r="J31" s="16"/>
      <c r="K31" s="17"/>
      <c r="L31" s="20">
        <f>IF('Eight questions'!E31="","",IF('Eight questions'!E31="Must work offline","Yes - rules out anything cloud-only",IF('Eight questions'!E31="Intermittent","Partly - needs offline tolerance","No")))</f>
      </c>
      <c r="M31" s="20">
        <f>IF('Eight questions'!C31="","",IF(OR('Eight questions'!C31="A schedule",'Eight questions'!C31="A system event"),"Yes - rules out anything needing an interactive session","No"))</f>
      </c>
      <c r="N31" s="20">
        <f>IF('Eight questions'!J31="","",IF(OR('Eight questions'!J31="Regulated",'Eight questions'!J31="Confidential"),"Yes - private networking, a stated data location, or local inference","No"))</f>
      </c>
      <c r="O31" s="20">
        <f>IF(OR('Eight questions'!F31="",'Eight questions'!G31=""),"",IF(VALUE(LEFT('Eight questions'!F31,1))&gt;VALUE(LEFT('Eight questions'!G31,1)),"Yes - intended reach exceeds pilot reach","No"))</f>
      </c>
      <c r="P31" s="16"/>
      <c r="Q31" s="16"/>
      <c r="R31" s="20">
        <f>IF('Eight questions'!S31="","",IF('Eight questions'!S31="Yes","Persistent (advisory)","Ephemeral session (transactional)"))</f>
      </c>
      <c r="S31" s="16"/>
    </row>
    <row r="32" ht="30" customHeight="1" spans="1:19" x14ac:dyDescent="0.25">
      <c r="A32" s="20">
        <f>IF(Register!A32="","",Register!A32)</f>
      </c>
      <c r="B32" s="20">
        <f>IF(Register!C32="","",Register!C32)</f>
      </c>
      <c r="C32" s="20">
        <f>IF(IF(Register!U32="",Register!T32,Register!U32)="","",IF(OR(IF(Register!U32="",Register!T32,Register!U32)="Automation",IF(Register!U32="",Register!T32,Register!U32)="Predictive or optimisation"),"1 Not AI",IF(OR('Eight questions'!J32="Regulated",'Eight questions'!O32="Real-world effect",'Assurance and gate'!J32=4),"4 Pro-code",IF(AND('Eight questions'!Q32="Yes",OR('Eight questions'!L32="Nothing",'Eight questions'!L32="Static documents"),'Assurance and gate'!J32&lt;=2),"2 Ready-made","3 Low-code"))))</f>
      </c>
      <c r="D32" s="16"/>
      <c r="E32" s="20">
        <f>IF(IF(D32="",C32,D32)="","",IF(IF(D32="",C32,D32)="1 Not AI","Not AI. Automation platform for fixed rules; Fabric data science or Azure ML for forecasting, scoring and matching.",IF(IF(D32="",C32,D32)="4 Pro-code","Assurance read before category: regulated data, a real-world effect or a full assurance tier escalates the direction regardless of how simple the category looked.",IF(IF(D32="",C32,D32)="2 Ready-made","A published agent covers the function. Adopt and configure. Capped at retrieval and task.",IF(IF(D32="",C32,D32)="3 Low-code","Low-code with governed connectors and built-in responsible AI. Low-code supports autonomous agents - do not climb a rung you do not need.","Full stack control. Only when compliance or customisation demands it.")))))</f>
      </c>
      <c r="F32" s="20">
        <f>IF('Eight questions'!C32="","",IF(OR('Eight questions'!C32="A system event",'Eight questions'!C32="A schedule",'Eight questions'!C32="Another agent"),"Monitor",IF(OR('Eight questions'!F32="4 Enterprise",'Eight questions'!F32="5 External",'Eight questions'!J32="Regulated",'Eight questions'!O32="Real-world effect"),"Build",IF(AND('Eight questions'!C32="A person is already working",'Eight questions'!D32="Inside the tool they have open",'Eight questions'!O32="Read only"),"Assist",IF('Eight questions'!L32="Take an action","Delegate",IF('Eight questions'!O32="Writes to a system","Control",IF('Eight questions'!L32="Static documents","Specialize","Adapt")))))))</f>
      </c>
      <c r="G32" s="16"/>
      <c r="H32" s="20">
        <f>IF(IF(G32="",F32,G32)="","",INDEX(Lists!$B$43:$B$50,MATCH(IF(G32="",F32,G32),Lists!$A$43:$A$50,0)))</f>
      </c>
      <c r="I32" s="20">
        <f>IF(IF(G32="",F32,G32)="","",INDEX(Lists!$C$43:$C$50,MATCH(IF(G32="",F32,G32),Lists!$A$43:$A$50,0)))</f>
      </c>
      <c r="J32" s="16"/>
      <c r="K32" s="17"/>
      <c r="L32" s="20">
        <f>IF('Eight questions'!E32="","",IF('Eight questions'!E32="Must work offline","Yes - rules out anything cloud-only",IF('Eight questions'!E32="Intermittent","Partly - needs offline tolerance","No")))</f>
      </c>
      <c r="M32" s="20">
        <f>IF('Eight questions'!C32="","",IF(OR('Eight questions'!C32="A schedule",'Eight questions'!C32="A system event"),"Yes - rules out anything needing an interactive session","No"))</f>
      </c>
      <c r="N32" s="20">
        <f>IF('Eight questions'!J32="","",IF(OR('Eight questions'!J32="Regulated",'Eight questions'!J32="Confidential"),"Yes - private networking, a stated data location, or local inference","No"))</f>
      </c>
      <c r="O32" s="20">
        <f>IF(OR('Eight questions'!F32="",'Eight questions'!G32=""),"",IF(VALUE(LEFT('Eight questions'!F32,1))&gt;VALUE(LEFT('Eight questions'!G32,1)),"Yes - intended reach exceeds pilot reach","No"))</f>
      </c>
      <c r="P32" s="16"/>
      <c r="Q32" s="16"/>
      <c r="R32" s="20">
        <f>IF('Eight questions'!S32="","",IF('Eight questions'!S32="Yes","Persistent (advisory)","Ephemeral session (transactional)"))</f>
      </c>
      <c r="S32" s="16"/>
    </row>
    <row r="33" ht="30" customHeight="1" spans="1:19" x14ac:dyDescent="0.25">
      <c r="A33" s="20">
        <f>IF(Register!A33="","",Register!A33)</f>
      </c>
      <c r="B33" s="20">
        <f>IF(Register!C33="","",Register!C33)</f>
      </c>
      <c r="C33" s="20">
        <f>IF(IF(Register!U33="",Register!T33,Register!U33)="","",IF(OR(IF(Register!U33="",Register!T33,Register!U33)="Automation",IF(Register!U33="",Register!T33,Register!U33)="Predictive or optimisation"),"1 Not AI",IF(OR('Eight questions'!J33="Regulated",'Eight questions'!O33="Real-world effect",'Assurance and gate'!J33=4),"4 Pro-code",IF(AND('Eight questions'!Q33="Yes",OR('Eight questions'!L33="Nothing",'Eight questions'!L33="Static documents"),'Assurance and gate'!J33&lt;=2),"2 Ready-made","3 Low-code"))))</f>
      </c>
      <c r="D33" s="16"/>
      <c r="E33" s="20">
        <f>IF(IF(D33="",C33,D33)="","",IF(IF(D33="",C33,D33)="1 Not AI","Not AI. Automation platform for fixed rules; Fabric data science or Azure ML for forecasting, scoring and matching.",IF(IF(D33="",C33,D33)="4 Pro-code","Assurance read before category: regulated data, a real-world effect or a full assurance tier escalates the direction regardless of how simple the category looked.",IF(IF(D33="",C33,D33)="2 Ready-made","A published agent covers the function. Adopt and configure. Capped at retrieval and task.",IF(IF(D33="",C33,D33)="3 Low-code","Low-code with governed connectors and built-in responsible AI. Low-code supports autonomous agents - do not climb a rung you do not need.","Full stack control. Only when compliance or customisation demands it.")))))</f>
      </c>
      <c r="F33" s="20">
        <f>IF('Eight questions'!C33="","",IF(OR('Eight questions'!C33="A system event",'Eight questions'!C33="A schedule",'Eight questions'!C33="Another agent"),"Monitor",IF(OR('Eight questions'!F33="4 Enterprise",'Eight questions'!F33="5 External",'Eight questions'!J33="Regulated",'Eight questions'!O33="Real-world effect"),"Build",IF(AND('Eight questions'!C33="A person is already working",'Eight questions'!D33="Inside the tool they have open",'Eight questions'!O33="Read only"),"Assist",IF('Eight questions'!L33="Take an action","Delegate",IF('Eight questions'!O33="Writes to a system","Control",IF('Eight questions'!L33="Static documents","Specialize","Adapt")))))))</f>
      </c>
      <c r="G33" s="16"/>
      <c r="H33" s="20">
        <f>IF(IF(G33="",F33,G33)="","",INDEX(Lists!$B$43:$B$50,MATCH(IF(G33="",F33,G33),Lists!$A$43:$A$50,0)))</f>
      </c>
      <c r="I33" s="20">
        <f>IF(IF(G33="",F33,G33)="","",INDEX(Lists!$C$43:$C$50,MATCH(IF(G33="",F33,G33),Lists!$A$43:$A$50,0)))</f>
      </c>
      <c r="J33" s="16"/>
      <c r="K33" s="17"/>
      <c r="L33" s="20">
        <f>IF('Eight questions'!E33="","",IF('Eight questions'!E33="Must work offline","Yes - rules out anything cloud-only",IF('Eight questions'!E33="Intermittent","Partly - needs offline tolerance","No")))</f>
      </c>
      <c r="M33" s="20">
        <f>IF('Eight questions'!C33="","",IF(OR('Eight questions'!C33="A schedule",'Eight questions'!C33="A system event"),"Yes - rules out anything needing an interactive session","No"))</f>
      </c>
      <c r="N33" s="20">
        <f>IF('Eight questions'!J33="","",IF(OR('Eight questions'!J33="Regulated",'Eight questions'!J33="Confidential"),"Yes - private networking, a stated data location, or local inference","No"))</f>
      </c>
      <c r="O33" s="20">
        <f>IF(OR('Eight questions'!F33="",'Eight questions'!G33=""),"",IF(VALUE(LEFT('Eight questions'!F33,1))&gt;VALUE(LEFT('Eight questions'!G33,1)),"Yes - intended reach exceeds pilot reach","No"))</f>
      </c>
      <c r="P33" s="16"/>
      <c r="Q33" s="16"/>
      <c r="R33" s="20">
        <f>IF('Eight questions'!S33="","",IF('Eight questions'!S33="Yes","Persistent (advisory)","Ephemeral session (transactional)"))</f>
      </c>
      <c r="S33" s="16"/>
    </row>
    <row r="34" ht="30" customHeight="1" spans="1:19" x14ac:dyDescent="0.25">
      <c r="A34" s="20">
        <f>IF(Register!A34="","",Register!A34)</f>
      </c>
      <c r="B34" s="20">
        <f>IF(Register!C34="","",Register!C34)</f>
      </c>
      <c r="C34" s="20">
        <f>IF(IF(Register!U34="",Register!T34,Register!U34)="","",IF(OR(IF(Register!U34="",Register!T34,Register!U34)="Automation",IF(Register!U34="",Register!T34,Register!U34)="Predictive or optimisation"),"1 Not AI",IF(OR('Eight questions'!J34="Regulated",'Eight questions'!O34="Real-world effect",'Assurance and gate'!J34=4),"4 Pro-code",IF(AND('Eight questions'!Q34="Yes",OR('Eight questions'!L34="Nothing",'Eight questions'!L34="Static documents"),'Assurance and gate'!J34&lt;=2),"2 Ready-made","3 Low-code"))))</f>
      </c>
      <c r="D34" s="16"/>
      <c r="E34" s="20">
        <f>IF(IF(D34="",C34,D34)="","",IF(IF(D34="",C34,D34)="1 Not AI","Not AI. Automation platform for fixed rules; Fabric data science or Azure ML for forecasting, scoring and matching.",IF(IF(D34="",C34,D34)="4 Pro-code","Assurance read before category: regulated data, a real-world effect or a full assurance tier escalates the direction regardless of how simple the category looked.",IF(IF(D34="",C34,D34)="2 Ready-made","A published agent covers the function. Adopt and configure. Capped at retrieval and task.",IF(IF(D34="",C34,D34)="3 Low-code","Low-code with governed connectors and built-in responsible AI. Low-code supports autonomous agents - do not climb a rung you do not need.","Full stack control. Only when compliance or customisation demands it.")))))</f>
      </c>
      <c r="F34" s="20">
        <f>IF('Eight questions'!C34="","",IF(OR('Eight questions'!C34="A system event",'Eight questions'!C34="A schedule",'Eight questions'!C34="Another agent"),"Monitor",IF(OR('Eight questions'!F34="4 Enterprise",'Eight questions'!F34="5 External",'Eight questions'!J34="Regulated",'Eight questions'!O34="Real-world effect"),"Build",IF(AND('Eight questions'!C34="A person is already working",'Eight questions'!D34="Inside the tool they have open",'Eight questions'!O34="Read only"),"Assist",IF('Eight questions'!L34="Take an action","Delegate",IF('Eight questions'!O34="Writes to a system","Control",IF('Eight questions'!L34="Static documents","Specialize","Adapt")))))))</f>
      </c>
      <c r="G34" s="16"/>
      <c r="H34" s="20">
        <f>IF(IF(G34="",F34,G34)="","",INDEX(Lists!$B$43:$B$50,MATCH(IF(G34="",F34,G34),Lists!$A$43:$A$50,0)))</f>
      </c>
      <c r="I34" s="20">
        <f>IF(IF(G34="",F34,G34)="","",INDEX(Lists!$C$43:$C$50,MATCH(IF(G34="",F34,G34),Lists!$A$43:$A$50,0)))</f>
      </c>
      <c r="J34" s="16"/>
      <c r="K34" s="17"/>
      <c r="L34" s="20">
        <f>IF('Eight questions'!E34="","",IF('Eight questions'!E34="Must work offline","Yes - rules out anything cloud-only",IF('Eight questions'!E34="Intermittent","Partly - needs offline tolerance","No")))</f>
      </c>
      <c r="M34" s="20">
        <f>IF('Eight questions'!C34="","",IF(OR('Eight questions'!C34="A schedule",'Eight questions'!C34="A system event"),"Yes - rules out anything needing an interactive session","No"))</f>
      </c>
      <c r="N34" s="20">
        <f>IF('Eight questions'!J34="","",IF(OR('Eight questions'!J34="Regulated",'Eight questions'!J34="Confidential"),"Yes - private networking, a stated data location, or local inference","No"))</f>
      </c>
      <c r="O34" s="20">
        <f>IF(OR('Eight questions'!F34="",'Eight questions'!G34=""),"",IF(VALUE(LEFT('Eight questions'!F34,1))&gt;VALUE(LEFT('Eight questions'!G34,1)),"Yes - intended reach exceeds pilot reach","No"))</f>
      </c>
      <c r="P34" s="16"/>
      <c r="Q34" s="16"/>
      <c r="R34" s="20">
        <f>IF('Eight questions'!S34="","",IF('Eight questions'!S34="Yes","Persistent (advisory)","Ephemeral session (transactional)"))</f>
      </c>
      <c r="S34" s="16"/>
    </row>
    <row r="35" ht="30" customHeight="1" spans="1:19" x14ac:dyDescent="0.25">
      <c r="A35" s="20">
        <f>IF(Register!A35="","",Register!A35)</f>
      </c>
      <c r="B35" s="20">
        <f>IF(Register!C35="","",Register!C35)</f>
      </c>
      <c r="C35" s="20">
        <f>IF(IF(Register!U35="",Register!T35,Register!U35)="","",IF(OR(IF(Register!U35="",Register!T35,Register!U35)="Automation",IF(Register!U35="",Register!T35,Register!U35)="Predictive or optimisation"),"1 Not AI",IF(OR('Eight questions'!J35="Regulated",'Eight questions'!O35="Real-world effect",'Assurance and gate'!J35=4),"4 Pro-code",IF(AND('Eight questions'!Q35="Yes",OR('Eight questions'!L35="Nothing",'Eight questions'!L35="Static documents"),'Assurance and gate'!J35&lt;=2),"2 Ready-made","3 Low-code"))))</f>
      </c>
      <c r="D35" s="16"/>
      <c r="E35" s="20">
        <f>IF(IF(D35="",C35,D35)="","",IF(IF(D35="",C35,D35)="1 Not AI","Not AI. Automation platform for fixed rules; Fabric data science or Azure ML for forecasting, scoring and matching.",IF(IF(D35="",C35,D35)="4 Pro-code","Assurance read before category: regulated data, a real-world effect or a full assurance tier escalates the direction regardless of how simple the category looked.",IF(IF(D35="",C35,D35)="2 Ready-made","A published agent covers the function. Adopt and configure. Capped at retrieval and task.",IF(IF(D35="",C35,D35)="3 Low-code","Low-code with governed connectors and built-in responsible AI. Low-code supports autonomous agents - do not climb a rung you do not need.","Full stack control. Only when compliance or customisation demands it.")))))</f>
      </c>
      <c r="F35" s="20">
        <f>IF('Eight questions'!C35="","",IF(OR('Eight questions'!C35="A system event",'Eight questions'!C35="A schedule",'Eight questions'!C35="Another agent"),"Monitor",IF(OR('Eight questions'!F35="4 Enterprise",'Eight questions'!F35="5 External",'Eight questions'!J35="Regulated",'Eight questions'!O35="Real-world effect"),"Build",IF(AND('Eight questions'!C35="A person is already working",'Eight questions'!D35="Inside the tool they have open",'Eight questions'!O35="Read only"),"Assist",IF('Eight questions'!L35="Take an action","Delegate",IF('Eight questions'!O35="Writes to a system","Control",IF('Eight questions'!L35="Static documents","Specialize","Adapt")))))))</f>
      </c>
      <c r="G35" s="16"/>
      <c r="H35" s="20">
        <f>IF(IF(G35="",F35,G35)="","",INDEX(Lists!$B$43:$B$50,MATCH(IF(G35="",F35,G35),Lists!$A$43:$A$50,0)))</f>
      </c>
      <c r="I35" s="20">
        <f>IF(IF(G35="",F35,G35)="","",INDEX(Lists!$C$43:$C$50,MATCH(IF(G35="",F35,G35),Lists!$A$43:$A$50,0)))</f>
      </c>
      <c r="J35" s="16"/>
      <c r="K35" s="17"/>
      <c r="L35" s="20">
        <f>IF('Eight questions'!E35="","",IF('Eight questions'!E35="Must work offline","Yes - rules out anything cloud-only",IF('Eight questions'!E35="Intermittent","Partly - needs offline tolerance","No")))</f>
      </c>
      <c r="M35" s="20">
        <f>IF('Eight questions'!C35="","",IF(OR('Eight questions'!C35="A schedule",'Eight questions'!C35="A system event"),"Yes - rules out anything needing an interactive session","No"))</f>
      </c>
      <c r="N35" s="20">
        <f>IF('Eight questions'!J35="","",IF(OR('Eight questions'!J35="Regulated",'Eight questions'!J35="Confidential"),"Yes - private networking, a stated data location, or local inference","No"))</f>
      </c>
      <c r="O35" s="20">
        <f>IF(OR('Eight questions'!F35="",'Eight questions'!G35=""),"",IF(VALUE(LEFT('Eight questions'!F35,1))&gt;VALUE(LEFT('Eight questions'!G35,1)),"Yes - intended reach exceeds pilot reach","No"))</f>
      </c>
      <c r="P35" s="16"/>
      <c r="Q35" s="16"/>
      <c r="R35" s="20">
        <f>IF('Eight questions'!S35="","",IF('Eight questions'!S35="Yes","Persistent (advisory)","Ephemeral session (transactional)"))</f>
      </c>
      <c r="S35" s="16"/>
    </row>
    <row r="36" ht="30" customHeight="1" spans="1:19" x14ac:dyDescent="0.25">
      <c r="A36" s="20">
        <f>IF(Register!A36="","",Register!A36)</f>
      </c>
      <c r="B36" s="20">
        <f>IF(Register!C36="","",Register!C36)</f>
      </c>
      <c r="C36" s="20">
        <f>IF(IF(Register!U36="",Register!T36,Register!U36)="","",IF(OR(IF(Register!U36="",Register!T36,Register!U36)="Automation",IF(Register!U36="",Register!T36,Register!U36)="Predictive or optimisation"),"1 Not AI",IF(OR('Eight questions'!J36="Regulated",'Eight questions'!O36="Real-world effect",'Assurance and gate'!J36=4),"4 Pro-code",IF(AND('Eight questions'!Q36="Yes",OR('Eight questions'!L36="Nothing",'Eight questions'!L36="Static documents"),'Assurance and gate'!J36&lt;=2),"2 Ready-made","3 Low-code"))))</f>
      </c>
      <c r="D36" s="16"/>
      <c r="E36" s="20">
        <f>IF(IF(D36="",C36,D36)="","",IF(IF(D36="",C36,D36)="1 Not AI","Not AI. Automation platform for fixed rules; Fabric data science or Azure ML for forecasting, scoring and matching.",IF(IF(D36="",C36,D36)="4 Pro-code","Assurance read before category: regulated data, a real-world effect or a full assurance tier escalates the direction regardless of how simple the category looked.",IF(IF(D36="",C36,D36)="2 Ready-made","A published agent covers the function. Adopt and configure. Capped at retrieval and task.",IF(IF(D36="",C36,D36)="3 Low-code","Low-code with governed connectors and built-in responsible AI. Low-code supports autonomous agents - do not climb a rung you do not need.","Full stack control. Only when compliance or customisation demands it.")))))</f>
      </c>
      <c r="F36" s="20">
        <f>IF('Eight questions'!C36="","",IF(OR('Eight questions'!C36="A system event",'Eight questions'!C36="A schedule",'Eight questions'!C36="Another agent"),"Monitor",IF(OR('Eight questions'!F36="4 Enterprise",'Eight questions'!F36="5 External",'Eight questions'!J36="Regulated",'Eight questions'!O36="Real-world effect"),"Build",IF(AND('Eight questions'!C36="A person is already working",'Eight questions'!D36="Inside the tool they have open",'Eight questions'!O36="Read only"),"Assist",IF('Eight questions'!L36="Take an action","Delegate",IF('Eight questions'!O36="Writes to a system","Control",IF('Eight questions'!L36="Static documents","Specialize","Adapt")))))))</f>
      </c>
      <c r="G36" s="16"/>
      <c r="H36" s="20">
        <f>IF(IF(G36="",F36,G36)="","",INDEX(Lists!$B$43:$B$50,MATCH(IF(G36="",F36,G36),Lists!$A$43:$A$50,0)))</f>
      </c>
      <c r="I36" s="20">
        <f>IF(IF(G36="",F36,G36)="","",INDEX(Lists!$C$43:$C$50,MATCH(IF(G36="",F36,G36),Lists!$A$43:$A$50,0)))</f>
      </c>
      <c r="J36" s="16"/>
      <c r="K36" s="17"/>
      <c r="L36" s="20">
        <f>IF('Eight questions'!E36="","",IF('Eight questions'!E36="Must work offline","Yes - rules out anything cloud-only",IF('Eight questions'!E36="Intermittent","Partly - needs offline tolerance","No")))</f>
      </c>
      <c r="M36" s="20">
        <f>IF('Eight questions'!C36="","",IF(OR('Eight questions'!C36="A schedule",'Eight questions'!C36="A system event"),"Yes - rules out anything needing an interactive session","No"))</f>
      </c>
      <c r="N36" s="20">
        <f>IF('Eight questions'!J36="","",IF(OR('Eight questions'!J36="Regulated",'Eight questions'!J36="Confidential"),"Yes - private networking, a stated data location, or local inference","No"))</f>
      </c>
      <c r="O36" s="20">
        <f>IF(OR('Eight questions'!F36="",'Eight questions'!G36=""),"",IF(VALUE(LEFT('Eight questions'!F36,1))&gt;VALUE(LEFT('Eight questions'!G36,1)),"Yes - intended reach exceeds pilot reach","No"))</f>
      </c>
      <c r="P36" s="16"/>
      <c r="Q36" s="16"/>
      <c r="R36" s="20">
        <f>IF('Eight questions'!S36="","",IF('Eight questions'!S36="Yes","Persistent (advisory)","Ephemeral session (transactional)"))</f>
      </c>
      <c r="S36" s="16"/>
    </row>
    <row r="37" ht="30" customHeight="1" spans="1:19" x14ac:dyDescent="0.25">
      <c r="A37" s="20">
        <f>IF(Register!A37="","",Register!A37)</f>
      </c>
      <c r="B37" s="20">
        <f>IF(Register!C37="","",Register!C37)</f>
      </c>
      <c r="C37" s="20">
        <f>IF(IF(Register!U37="",Register!T37,Register!U37)="","",IF(OR(IF(Register!U37="",Register!T37,Register!U37)="Automation",IF(Register!U37="",Register!T37,Register!U37)="Predictive or optimisation"),"1 Not AI",IF(OR('Eight questions'!J37="Regulated",'Eight questions'!O37="Real-world effect",'Assurance and gate'!J37=4),"4 Pro-code",IF(AND('Eight questions'!Q37="Yes",OR('Eight questions'!L37="Nothing",'Eight questions'!L37="Static documents"),'Assurance and gate'!J37&lt;=2),"2 Ready-made","3 Low-code"))))</f>
      </c>
      <c r="D37" s="16"/>
      <c r="E37" s="20">
        <f>IF(IF(D37="",C37,D37)="","",IF(IF(D37="",C37,D37)="1 Not AI","Not AI. Automation platform for fixed rules; Fabric data science or Azure ML for forecasting, scoring and matching.",IF(IF(D37="",C37,D37)="4 Pro-code","Assurance read before category: regulated data, a real-world effect or a full assurance tier escalates the direction regardless of how simple the category looked.",IF(IF(D37="",C37,D37)="2 Ready-made","A published agent covers the function. Adopt and configure. Capped at retrieval and task.",IF(IF(D37="",C37,D37)="3 Low-code","Low-code with governed connectors and built-in responsible AI. Low-code supports autonomous agents - do not climb a rung you do not need.","Full stack control. Only when compliance or customisation demands it.")))))</f>
      </c>
      <c r="F37" s="20">
        <f>IF('Eight questions'!C37="","",IF(OR('Eight questions'!C37="A system event",'Eight questions'!C37="A schedule",'Eight questions'!C37="Another agent"),"Monitor",IF(OR('Eight questions'!F37="4 Enterprise",'Eight questions'!F37="5 External",'Eight questions'!J37="Regulated",'Eight questions'!O37="Real-world effect"),"Build",IF(AND('Eight questions'!C37="A person is already working",'Eight questions'!D37="Inside the tool they have open",'Eight questions'!O37="Read only"),"Assist",IF('Eight questions'!L37="Take an action","Delegate",IF('Eight questions'!O37="Writes to a system","Control",IF('Eight questions'!L37="Static documents","Specialize","Adapt")))))))</f>
      </c>
      <c r="G37" s="16"/>
      <c r="H37" s="20">
        <f>IF(IF(G37="",F37,G37)="","",INDEX(Lists!$B$43:$B$50,MATCH(IF(G37="",F37,G37),Lists!$A$43:$A$50,0)))</f>
      </c>
      <c r="I37" s="20">
        <f>IF(IF(G37="",F37,G37)="","",INDEX(Lists!$C$43:$C$50,MATCH(IF(G37="",F37,G37),Lists!$A$43:$A$50,0)))</f>
      </c>
      <c r="J37" s="16"/>
      <c r="K37" s="17"/>
      <c r="L37" s="20">
        <f>IF('Eight questions'!E37="","",IF('Eight questions'!E37="Must work offline","Yes - rules out anything cloud-only",IF('Eight questions'!E37="Intermittent","Partly - needs offline tolerance","No")))</f>
      </c>
      <c r="M37" s="20">
        <f>IF('Eight questions'!C37="","",IF(OR('Eight questions'!C37="A schedule",'Eight questions'!C37="A system event"),"Yes - rules out anything needing an interactive session","No"))</f>
      </c>
      <c r="N37" s="20">
        <f>IF('Eight questions'!J37="","",IF(OR('Eight questions'!J37="Regulated",'Eight questions'!J37="Confidential"),"Yes - private networking, a stated data location, or local inference","No"))</f>
      </c>
      <c r="O37" s="20">
        <f>IF(OR('Eight questions'!F37="",'Eight questions'!G37=""),"",IF(VALUE(LEFT('Eight questions'!F37,1))&gt;VALUE(LEFT('Eight questions'!G37,1)),"Yes - intended reach exceeds pilot reach","No"))</f>
      </c>
      <c r="P37" s="16"/>
      <c r="Q37" s="16"/>
      <c r="R37" s="20">
        <f>IF('Eight questions'!S37="","",IF('Eight questions'!S37="Yes","Persistent (advisory)","Ephemeral session (transactional)"))</f>
      </c>
      <c r="S37" s="16"/>
    </row>
    <row r="38" ht="30" customHeight="1" spans="1:19" x14ac:dyDescent="0.25">
      <c r="A38" s="20">
        <f>IF(Register!A38="","",Register!A38)</f>
      </c>
      <c r="B38" s="20">
        <f>IF(Register!C38="","",Register!C38)</f>
      </c>
      <c r="C38" s="20">
        <f>IF(IF(Register!U38="",Register!T38,Register!U38)="","",IF(OR(IF(Register!U38="",Register!T38,Register!U38)="Automation",IF(Register!U38="",Register!T38,Register!U38)="Predictive or optimisation"),"1 Not AI",IF(OR('Eight questions'!J38="Regulated",'Eight questions'!O38="Real-world effect",'Assurance and gate'!J38=4),"4 Pro-code",IF(AND('Eight questions'!Q38="Yes",OR('Eight questions'!L38="Nothing",'Eight questions'!L38="Static documents"),'Assurance and gate'!J38&lt;=2),"2 Ready-made","3 Low-code"))))</f>
      </c>
      <c r="D38" s="16"/>
      <c r="E38" s="20">
        <f>IF(IF(D38="",C38,D38)="","",IF(IF(D38="",C38,D38)="1 Not AI","Not AI. Automation platform for fixed rules; Fabric data science or Azure ML for forecasting, scoring and matching.",IF(IF(D38="",C38,D38)="4 Pro-code","Assurance read before category: regulated data, a real-world effect or a full assurance tier escalates the direction regardless of how simple the category looked.",IF(IF(D38="",C38,D38)="2 Ready-made","A published agent covers the function. Adopt and configure. Capped at retrieval and task.",IF(IF(D38="",C38,D38)="3 Low-code","Low-code with governed connectors and built-in responsible AI. Low-code supports autonomous agents - do not climb a rung you do not need.","Full stack control. Only when compliance or customisation demands it.")))))</f>
      </c>
      <c r="F38" s="20">
        <f>IF('Eight questions'!C38="","",IF(OR('Eight questions'!C38="A system event",'Eight questions'!C38="A schedule",'Eight questions'!C38="Another agent"),"Monitor",IF(OR('Eight questions'!F38="4 Enterprise",'Eight questions'!F38="5 External",'Eight questions'!J38="Regulated",'Eight questions'!O38="Real-world effect"),"Build",IF(AND('Eight questions'!C38="A person is already working",'Eight questions'!D38="Inside the tool they have open",'Eight questions'!O38="Read only"),"Assist",IF('Eight questions'!L38="Take an action","Delegate",IF('Eight questions'!O38="Writes to a system","Control",IF('Eight questions'!L38="Static documents","Specialize","Adapt")))))))</f>
      </c>
      <c r="G38" s="16"/>
      <c r="H38" s="20">
        <f>IF(IF(G38="",F38,G38)="","",INDEX(Lists!$B$43:$B$50,MATCH(IF(G38="",F38,G38),Lists!$A$43:$A$50,0)))</f>
      </c>
      <c r="I38" s="20">
        <f>IF(IF(G38="",F38,G38)="","",INDEX(Lists!$C$43:$C$50,MATCH(IF(G38="",F38,G38),Lists!$A$43:$A$50,0)))</f>
      </c>
      <c r="J38" s="16"/>
      <c r="K38" s="17"/>
      <c r="L38" s="20">
        <f>IF('Eight questions'!E38="","",IF('Eight questions'!E38="Must work offline","Yes - rules out anything cloud-only",IF('Eight questions'!E38="Intermittent","Partly - needs offline tolerance","No")))</f>
      </c>
      <c r="M38" s="20">
        <f>IF('Eight questions'!C38="","",IF(OR('Eight questions'!C38="A schedule",'Eight questions'!C38="A system event"),"Yes - rules out anything needing an interactive session","No"))</f>
      </c>
      <c r="N38" s="20">
        <f>IF('Eight questions'!J38="","",IF(OR('Eight questions'!J38="Regulated",'Eight questions'!J38="Confidential"),"Yes - private networking, a stated data location, or local inference","No"))</f>
      </c>
      <c r="O38" s="20">
        <f>IF(OR('Eight questions'!F38="",'Eight questions'!G38=""),"",IF(VALUE(LEFT('Eight questions'!F38,1))&gt;VALUE(LEFT('Eight questions'!G38,1)),"Yes - intended reach exceeds pilot reach","No"))</f>
      </c>
      <c r="P38" s="16"/>
      <c r="Q38" s="16"/>
      <c r="R38" s="20">
        <f>IF('Eight questions'!S38="","",IF('Eight questions'!S38="Yes","Persistent (advisory)","Ephemeral session (transactional)"))</f>
      </c>
      <c r="S38" s="16"/>
    </row>
    <row r="39" ht="30" customHeight="1" spans="1:19" x14ac:dyDescent="0.25">
      <c r="A39" s="20">
        <f>IF(Register!A39="","",Register!A39)</f>
      </c>
      <c r="B39" s="20">
        <f>IF(Register!C39="","",Register!C39)</f>
      </c>
      <c r="C39" s="20">
        <f>IF(IF(Register!U39="",Register!T39,Register!U39)="","",IF(OR(IF(Register!U39="",Register!T39,Register!U39)="Automation",IF(Register!U39="",Register!T39,Register!U39)="Predictive or optimisation"),"1 Not AI",IF(OR('Eight questions'!J39="Regulated",'Eight questions'!O39="Real-world effect",'Assurance and gate'!J39=4),"4 Pro-code",IF(AND('Eight questions'!Q39="Yes",OR('Eight questions'!L39="Nothing",'Eight questions'!L39="Static documents"),'Assurance and gate'!J39&lt;=2),"2 Ready-made","3 Low-code"))))</f>
      </c>
      <c r="D39" s="16"/>
      <c r="E39" s="20">
        <f>IF(IF(D39="",C39,D39)="","",IF(IF(D39="",C39,D39)="1 Not AI","Not AI. Automation platform for fixed rules; Fabric data science or Azure ML for forecasting, scoring and matching.",IF(IF(D39="",C39,D39)="4 Pro-code","Assurance read before category: regulated data, a real-world effect or a full assurance tier escalates the direction regardless of how simple the category looked.",IF(IF(D39="",C39,D39)="2 Ready-made","A published agent covers the function. Adopt and configure. Capped at retrieval and task.",IF(IF(D39="",C39,D39)="3 Low-code","Low-code with governed connectors and built-in responsible AI. Low-code supports autonomous agents - do not climb a rung you do not need.","Full stack control. Only when compliance or customisation demands it.")))))</f>
      </c>
      <c r="F39" s="20">
        <f>IF('Eight questions'!C39="","",IF(OR('Eight questions'!C39="A system event",'Eight questions'!C39="A schedule",'Eight questions'!C39="Another agent"),"Monitor",IF(OR('Eight questions'!F39="4 Enterprise",'Eight questions'!F39="5 External",'Eight questions'!J39="Regulated",'Eight questions'!O39="Real-world effect"),"Build",IF(AND('Eight questions'!C39="A person is already working",'Eight questions'!D39="Inside the tool they have open",'Eight questions'!O39="Read only"),"Assist",IF('Eight questions'!L39="Take an action","Delegate",IF('Eight questions'!O39="Writes to a system","Control",IF('Eight questions'!L39="Static documents","Specialize","Adapt")))))))</f>
      </c>
      <c r="G39" s="16"/>
      <c r="H39" s="20">
        <f>IF(IF(G39="",F39,G39)="","",INDEX(Lists!$B$43:$B$50,MATCH(IF(G39="",F39,G39),Lists!$A$43:$A$50,0)))</f>
      </c>
      <c r="I39" s="20">
        <f>IF(IF(G39="",F39,G39)="","",INDEX(Lists!$C$43:$C$50,MATCH(IF(G39="",F39,G39),Lists!$A$43:$A$50,0)))</f>
      </c>
      <c r="J39" s="16"/>
      <c r="K39" s="17"/>
      <c r="L39" s="20">
        <f>IF('Eight questions'!E39="","",IF('Eight questions'!E39="Must work offline","Yes - rules out anything cloud-only",IF('Eight questions'!E39="Intermittent","Partly - needs offline tolerance","No")))</f>
      </c>
      <c r="M39" s="20">
        <f>IF('Eight questions'!C39="","",IF(OR('Eight questions'!C39="A schedule",'Eight questions'!C39="A system event"),"Yes - rules out anything needing an interactive session","No"))</f>
      </c>
      <c r="N39" s="20">
        <f>IF('Eight questions'!J39="","",IF(OR('Eight questions'!J39="Regulated",'Eight questions'!J39="Confidential"),"Yes - private networking, a stated data location, or local inference","No"))</f>
      </c>
      <c r="O39" s="20">
        <f>IF(OR('Eight questions'!F39="",'Eight questions'!G39=""),"",IF(VALUE(LEFT('Eight questions'!F39,1))&gt;VALUE(LEFT('Eight questions'!G39,1)),"Yes - intended reach exceeds pilot reach","No"))</f>
      </c>
      <c r="P39" s="16"/>
      <c r="Q39" s="16"/>
      <c r="R39" s="20">
        <f>IF('Eight questions'!S39="","",IF('Eight questions'!S39="Yes","Persistent (advisory)","Ephemeral session (transactional)"))</f>
      </c>
      <c r="S39" s="16"/>
    </row>
    <row r="40" ht="30" customHeight="1" spans="1:19" x14ac:dyDescent="0.25">
      <c r="A40" s="20">
        <f>IF(Register!A40="","",Register!A40)</f>
      </c>
      <c r="B40" s="20">
        <f>IF(Register!C40="","",Register!C40)</f>
      </c>
      <c r="C40" s="20">
        <f>IF(IF(Register!U40="",Register!T40,Register!U40)="","",IF(OR(IF(Register!U40="",Register!T40,Register!U40)="Automation",IF(Register!U40="",Register!T40,Register!U40)="Predictive or optimisation"),"1 Not AI",IF(OR('Eight questions'!J40="Regulated",'Eight questions'!O40="Real-world effect",'Assurance and gate'!J40=4),"4 Pro-code",IF(AND('Eight questions'!Q40="Yes",OR('Eight questions'!L40="Nothing",'Eight questions'!L40="Static documents"),'Assurance and gate'!J40&lt;=2),"2 Ready-made","3 Low-code"))))</f>
      </c>
      <c r="D40" s="16"/>
      <c r="E40" s="20">
        <f>IF(IF(D40="",C40,D40)="","",IF(IF(D40="",C40,D40)="1 Not AI","Not AI. Automation platform for fixed rules; Fabric data science or Azure ML for forecasting, scoring and matching.",IF(IF(D40="",C40,D40)="4 Pro-code","Assurance read before category: regulated data, a real-world effect or a full assurance tier escalates the direction regardless of how simple the category looked.",IF(IF(D40="",C40,D40)="2 Ready-made","A published agent covers the function. Adopt and configure. Capped at retrieval and task.",IF(IF(D40="",C40,D40)="3 Low-code","Low-code with governed connectors and built-in responsible AI. Low-code supports autonomous agents - do not climb a rung you do not need.","Full stack control. Only when compliance or customisation demands it.")))))</f>
      </c>
      <c r="F40" s="20">
        <f>IF('Eight questions'!C40="","",IF(OR('Eight questions'!C40="A system event",'Eight questions'!C40="A schedule",'Eight questions'!C40="Another agent"),"Monitor",IF(OR('Eight questions'!F40="4 Enterprise",'Eight questions'!F40="5 External",'Eight questions'!J40="Regulated",'Eight questions'!O40="Real-world effect"),"Build",IF(AND('Eight questions'!C40="A person is already working",'Eight questions'!D40="Inside the tool they have open",'Eight questions'!O40="Read only"),"Assist",IF('Eight questions'!L40="Take an action","Delegate",IF('Eight questions'!O40="Writes to a system","Control",IF('Eight questions'!L40="Static documents","Specialize","Adapt")))))))</f>
      </c>
      <c r="G40" s="16"/>
      <c r="H40" s="20">
        <f>IF(IF(G40="",F40,G40)="","",INDEX(Lists!$B$43:$B$50,MATCH(IF(G40="",F40,G40),Lists!$A$43:$A$50,0)))</f>
      </c>
      <c r="I40" s="20">
        <f>IF(IF(G40="",F40,G40)="","",INDEX(Lists!$C$43:$C$50,MATCH(IF(G40="",F40,G40),Lists!$A$43:$A$50,0)))</f>
      </c>
      <c r="J40" s="16"/>
      <c r="K40" s="17"/>
      <c r="L40" s="20">
        <f>IF('Eight questions'!E40="","",IF('Eight questions'!E40="Must work offline","Yes - rules out anything cloud-only",IF('Eight questions'!E40="Intermittent","Partly - needs offline tolerance","No")))</f>
      </c>
      <c r="M40" s="20">
        <f>IF('Eight questions'!C40="","",IF(OR('Eight questions'!C40="A schedule",'Eight questions'!C40="A system event"),"Yes - rules out anything needing an interactive session","No"))</f>
      </c>
      <c r="N40" s="20">
        <f>IF('Eight questions'!J40="","",IF(OR('Eight questions'!J40="Regulated",'Eight questions'!J40="Confidential"),"Yes - private networking, a stated data location, or local inference","No"))</f>
      </c>
      <c r="O40" s="20">
        <f>IF(OR('Eight questions'!F40="",'Eight questions'!G40=""),"",IF(VALUE(LEFT('Eight questions'!F40,1))&gt;VALUE(LEFT('Eight questions'!G40,1)),"Yes - intended reach exceeds pilot reach","No"))</f>
      </c>
      <c r="P40" s="16"/>
      <c r="Q40" s="16"/>
      <c r="R40" s="20">
        <f>IF('Eight questions'!S40="","",IF('Eight questions'!S40="Yes","Persistent (advisory)","Ephemeral session (transactional)"))</f>
      </c>
      <c r="S40" s="16"/>
    </row>
    <row r="41" ht="30" customHeight="1" spans="1:19" x14ac:dyDescent="0.25">
      <c r="A41" s="20">
        <f>IF(Register!A41="","",Register!A41)</f>
      </c>
      <c r="B41" s="20">
        <f>IF(Register!C41="","",Register!C41)</f>
      </c>
      <c r="C41" s="20">
        <f>IF(IF(Register!U41="",Register!T41,Register!U41)="","",IF(OR(IF(Register!U41="",Register!T41,Register!U41)="Automation",IF(Register!U41="",Register!T41,Register!U41)="Predictive or optimisation"),"1 Not AI",IF(OR('Eight questions'!J41="Regulated",'Eight questions'!O41="Real-world effect",'Assurance and gate'!J41=4),"4 Pro-code",IF(AND('Eight questions'!Q41="Yes",OR('Eight questions'!L41="Nothing",'Eight questions'!L41="Static documents"),'Assurance and gate'!J41&lt;=2),"2 Ready-made","3 Low-code"))))</f>
      </c>
      <c r="D41" s="16"/>
      <c r="E41" s="20">
        <f>IF(IF(D41="",C41,D41)="","",IF(IF(D41="",C41,D41)="1 Not AI","Not AI. Automation platform for fixed rules; Fabric data science or Azure ML for forecasting, scoring and matching.",IF(IF(D41="",C41,D41)="4 Pro-code","Assurance read before category: regulated data, a real-world effect or a full assurance tier escalates the direction regardless of how simple the category looked.",IF(IF(D41="",C41,D41)="2 Ready-made","A published agent covers the function. Adopt and configure. Capped at retrieval and task.",IF(IF(D41="",C41,D41)="3 Low-code","Low-code with governed connectors and built-in responsible AI. Low-code supports autonomous agents - do not climb a rung you do not need.","Full stack control. Only when compliance or customisation demands it.")))))</f>
      </c>
      <c r="F41" s="20">
        <f>IF('Eight questions'!C41="","",IF(OR('Eight questions'!C41="A system event",'Eight questions'!C41="A schedule",'Eight questions'!C41="Another agent"),"Monitor",IF(OR('Eight questions'!F41="4 Enterprise",'Eight questions'!F41="5 External",'Eight questions'!J41="Regulated",'Eight questions'!O41="Real-world effect"),"Build",IF(AND('Eight questions'!C41="A person is already working",'Eight questions'!D41="Inside the tool they have open",'Eight questions'!O41="Read only"),"Assist",IF('Eight questions'!L41="Take an action","Delegate",IF('Eight questions'!O41="Writes to a system","Control",IF('Eight questions'!L41="Static documents","Specialize","Adapt")))))))</f>
      </c>
      <c r="G41" s="16"/>
      <c r="H41" s="20">
        <f>IF(IF(G41="",F41,G41)="","",INDEX(Lists!$B$43:$B$50,MATCH(IF(G41="",F41,G41),Lists!$A$43:$A$50,0)))</f>
      </c>
      <c r="I41" s="20">
        <f>IF(IF(G41="",F41,G41)="","",INDEX(Lists!$C$43:$C$50,MATCH(IF(G41="",F41,G41),Lists!$A$43:$A$50,0)))</f>
      </c>
      <c r="J41" s="16"/>
      <c r="K41" s="17"/>
      <c r="L41" s="20">
        <f>IF('Eight questions'!E41="","",IF('Eight questions'!E41="Must work offline","Yes - rules out anything cloud-only",IF('Eight questions'!E41="Intermittent","Partly - needs offline tolerance","No")))</f>
      </c>
      <c r="M41" s="20">
        <f>IF('Eight questions'!C41="","",IF(OR('Eight questions'!C41="A schedule",'Eight questions'!C41="A system event"),"Yes - rules out anything needing an interactive session","No"))</f>
      </c>
      <c r="N41" s="20">
        <f>IF('Eight questions'!J41="","",IF(OR('Eight questions'!J41="Regulated",'Eight questions'!J41="Confidential"),"Yes - private networking, a stated data location, or local inference","No"))</f>
      </c>
      <c r="O41" s="20">
        <f>IF(OR('Eight questions'!F41="",'Eight questions'!G41=""),"",IF(VALUE(LEFT('Eight questions'!F41,1))&gt;VALUE(LEFT('Eight questions'!G41,1)),"Yes - intended reach exceeds pilot reach","No"))</f>
      </c>
      <c r="P41" s="16"/>
      <c r="Q41" s="16"/>
      <c r="R41" s="20">
        <f>IF('Eight questions'!S41="","",IF('Eight questions'!S41="Yes","Persistent (advisory)","Ephemeral session (transactional)"))</f>
      </c>
      <c r="S41" s="16"/>
    </row>
    <row r="42" ht="30" customHeight="1" spans="1:19" x14ac:dyDescent="0.25">
      <c r="A42" s="20">
        <f>IF(Register!A42="","",Register!A42)</f>
      </c>
      <c r="B42" s="20">
        <f>IF(Register!C42="","",Register!C42)</f>
      </c>
      <c r="C42" s="20">
        <f>IF(IF(Register!U42="",Register!T42,Register!U42)="","",IF(OR(IF(Register!U42="",Register!T42,Register!U42)="Automation",IF(Register!U42="",Register!T42,Register!U42)="Predictive or optimisation"),"1 Not AI",IF(OR('Eight questions'!J42="Regulated",'Eight questions'!O42="Real-world effect",'Assurance and gate'!J42=4),"4 Pro-code",IF(AND('Eight questions'!Q42="Yes",OR('Eight questions'!L42="Nothing",'Eight questions'!L42="Static documents"),'Assurance and gate'!J42&lt;=2),"2 Ready-made","3 Low-code"))))</f>
      </c>
      <c r="D42" s="16"/>
      <c r="E42" s="20">
        <f>IF(IF(D42="",C42,D42)="","",IF(IF(D42="",C42,D42)="1 Not AI","Not AI. Automation platform for fixed rules; Fabric data science or Azure ML for forecasting, scoring and matching.",IF(IF(D42="",C42,D42)="4 Pro-code","Assurance read before category: regulated data, a real-world effect or a full assurance tier escalates the direction regardless of how simple the category looked.",IF(IF(D42="",C42,D42)="2 Ready-made","A published agent covers the function. Adopt and configure. Capped at retrieval and task.",IF(IF(D42="",C42,D42)="3 Low-code","Low-code with governed connectors and built-in responsible AI. Low-code supports autonomous agents - do not climb a rung you do not need.","Full stack control. Only when compliance or customisation demands it.")))))</f>
      </c>
      <c r="F42" s="20">
        <f>IF('Eight questions'!C42="","",IF(OR('Eight questions'!C42="A system event",'Eight questions'!C42="A schedule",'Eight questions'!C42="Another agent"),"Monitor",IF(OR('Eight questions'!F42="4 Enterprise",'Eight questions'!F42="5 External",'Eight questions'!J42="Regulated",'Eight questions'!O42="Real-world effect"),"Build",IF(AND('Eight questions'!C42="A person is already working",'Eight questions'!D42="Inside the tool they have open",'Eight questions'!O42="Read only"),"Assist",IF('Eight questions'!L42="Take an action","Delegate",IF('Eight questions'!O42="Writes to a system","Control",IF('Eight questions'!L42="Static documents","Specialize","Adapt")))))))</f>
      </c>
      <c r="G42" s="16"/>
      <c r="H42" s="20">
        <f>IF(IF(G42="",F42,G42)="","",INDEX(Lists!$B$43:$B$50,MATCH(IF(G42="",F42,G42),Lists!$A$43:$A$50,0)))</f>
      </c>
      <c r="I42" s="20">
        <f>IF(IF(G42="",F42,G42)="","",INDEX(Lists!$C$43:$C$50,MATCH(IF(G42="",F42,G42),Lists!$A$43:$A$50,0)))</f>
      </c>
      <c r="J42" s="16"/>
      <c r="K42" s="17"/>
      <c r="L42" s="20">
        <f>IF('Eight questions'!E42="","",IF('Eight questions'!E42="Must work offline","Yes - rules out anything cloud-only",IF('Eight questions'!E42="Intermittent","Partly - needs offline tolerance","No")))</f>
      </c>
      <c r="M42" s="20">
        <f>IF('Eight questions'!C42="","",IF(OR('Eight questions'!C42="A schedule",'Eight questions'!C42="A system event"),"Yes - rules out anything needing an interactive session","No"))</f>
      </c>
      <c r="N42" s="20">
        <f>IF('Eight questions'!J42="","",IF(OR('Eight questions'!J42="Regulated",'Eight questions'!J42="Confidential"),"Yes - private networking, a stated data location, or local inference","No"))</f>
      </c>
      <c r="O42" s="20">
        <f>IF(OR('Eight questions'!F42="",'Eight questions'!G42=""),"",IF(VALUE(LEFT('Eight questions'!F42,1))&gt;VALUE(LEFT('Eight questions'!G42,1)),"Yes - intended reach exceeds pilot reach","No"))</f>
      </c>
      <c r="P42" s="16"/>
      <c r="Q42" s="16"/>
      <c r="R42" s="20">
        <f>IF('Eight questions'!S42="","",IF('Eight questions'!S42="Yes","Persistent (advisory)","Ephemeral session (transactional)"))</f>
      </c>
      <c r="S42" s="16"/>
    </row>
    <row r="43" ht="30" customHeight="1" spans="1:19" x14ac:dyDescent="0.25">
      <c r="A43" s="20">
        <f>IF(Register!A43="","",Register!A43)</f>
      </c>
      <c r="B43" s="20">
        <f>IF(Register!C43="","",Register!C43)</f>
      </c>
      <c r="C43" s="20">
        <f>IF(IF(Register!U43="",Register!T43,Register!U43)="","",IF(OR(IF(Register!U43="",Register!T43,Register!U43)="Automation",IF(Register!U43="",Register!T43,Register!U43)="Predictive or optimisation"),"1 Not AI",IF(OR('Eight questions'!J43="Regulated",'Eight questions'!O43="Real-world effect",'Assurance and gate'!J43=4),"4 Pro-code",IF(AND('Eight questions'!Q43="Yes",OR('Eight questions'!L43="Nothing",'Eight questions'!L43="Static documents"),'Assurance and gate'!J43&lt;=2),"2 Ready-made","3 Low-code"))))</f>
      </c>
      <c r="D43" s="16"/>
      <c r="E43" s="20">
        <f>IF(IF(D43="",C43,D43)="","",IF(IF(D43="",C43,D43)="1 Not AI","Not AI. Automation platform for fixed rules; Fabric data science or Azure ML for forecasting, scoring and matching.",IF(IF(D43="",C43,D43)="4 Pro-code","Assurance read before category: regulated data, a real-world effect or a full assurance tier escalates the direction regardless of how simple the category looked.",IF(IF(D43="",C43,D43)="2 Ready-made","A published agent covers the function. Adopt and configure. Capped at retrieval and task.",IF(IF(D43="",C43,D43)="3 Low-code","Low-code with governed connectors and built-in responsible AI. Low-code supports autonomous agents - do not climb a rung you do not need.","Full stack control. Only when compliance or customisation demands it.")))))</f>
      </c>
      <c r="F43" s="20">
        <f>IF('Eight questions'!C43="","",IF(OR('Eight questions'!C43="A system event",'Eight questions'!C43="A schedule",'Eight questions'!C43="Another agent"),"Monitor",IF(OR('Eight questions'!F43="4 Enterprise",'Eight questions'!F43="5 External",'Eight questions'!J43="Regulated",'Eight questions'!O43="Real-world effect"),"Build",IF(AND('Eight questions'!C43="A person is already working",'Eight questions'!D43="Inside the tool they have open",'Eight questions'!O43="Read only"),"Assist",IF('Eight questions'!L43="Take an action","Delegate",IF('Eight questions'!O43="Writes to a system","Control",IF('Eight questions'!L43="Static documents","Specialize","Adapt")))))))</f>
      </c>
      <c r="G43" s="16"/>
      <c r="H43" s="20">
        <f>IF(IF(G43="",F43,G43)="","",INDEX(Lists!$B$43:$B$50,MATCH(IF(G43="",F43,G43),Lists!$A$43:$A$50,0)))</f>
      </c>
      <c r="I43" s="20">
        <f>IF(IF(G43="",F43,G43)="","",INDEX(Lists!$C$43:$C$50,MATCH(IF(G43="",F43,G43),Lists!$A$43:$A$50,0)))</f>
      </c>
      <c r="J43" s="16"/>
      <c r="K43" s="17"/>
      <c r="L43" s="20">
        <f>IF('Eight questions'!E43="","",IF('Eight questions'!E43="Must work offline","Yes - rules out anything cloud-only",IF('Eight questions'!E43="Intermittent","Partly - needs offline tolerance","No")))</f>
      </c>
      <c r="M43" s="20">
        <f>IF('Eight questions'!C43="","",IF(OR('Eight questions'!C43="A schedule",'Eight questions'!C43="A system event"),"Yes - rules out anything needing an interactive session","No"))</f>
      </c>
      <c r="N43" s="20">
        <f>IF('Eight questions'!J43="","",IF(OR('Eight questions'!J43="Regulated",'Eight questions'!J43="Confidential"),"Yes - private networking, a stated data location, or local inference","No"))</f>
      </c>
      <c r="O43" s="20">
        <f>IF(OR('Eight questions'!F43="",'Eight questions'!G43=""),"",IF(VALUE(LEFT('Eight questions'!F43,1))&gt;VALUE(LEFT('Eight questions'!G43,1)),"Yes - intended reach exceeds pilot reach","No"))</f>
      </c>
      <c r="P43" s="16"/>
      <c r="Q43" s="16"/>
      <c r="R43" s="20">
        <f>IF('Eight questions'!S43="","",IF('Eight questions'!S43="Yes","Persistent (advisory)","Ephemeral session (transactional)"))</f>
      </c>
      <c r="S43" s="16"/>
    </row>
    <row r="44" ht="30" customHeight="1" spans="1:19" x14ac:dyDescent="0.25">
      <c r="A44" s="20">
        <f>IF(Register!A44="","",Register!A44)</f>
      </c>
      <c r="B44" s="20">
        <f>IF(Register!C44="","",Register!C44)</f>
      </c>
      <c r="C44" s="20">
        <f>IF(IF(Register!U44="",Register!T44,Register!U44)="","",IF(OR(IF(Register!U44="",Register!T44,Register!U44)="Automation",IF(Register!U44="",Register!T44,Register!U44)="Predictive or optimisation"),"1 Not AI",IF(OR('Eight questions'!J44="Regulated",'Eight questions'!O44="Real-world effect",'Assurance and gate'!J44=4),"4 Pro-code",IF(AND('Eight questions'!Q44="Yes",OR('Eight questions'!L44="Nothing",'Eight questions'!L44="Static documents"),'Assurance and gate'!J44&lt;=2),"2 Ready-made","3 Low-code"))))</f>
      </c>
      <c r="D44" s="16"/>
      <c r="E44" s="20">
        <f>IF(IF(D44="",C44,D44)="","",IF(IF(D44="",C44,D44)="1 Not AI","Not AI. Automation platform for fixed rules; Fabric data science or Azure ML for forecasting, scoring and matching.",IF(IF(D44="",C44,D44)="4 Pro-code","Assurance read before category: regulated data, a real-world effect or a full assurance tier escalates the direction regardless of how simple the category looked.",IF(IF(D44="",C44,D44)="2 Ready-made","A published agent covers the function. Adopt and configure. Capped at retrieval and task.",IF(IF(D44="",C44,D44)="3 Low-code","Low-code with governed connectors and built-in responsible AI. Low-code supports autonomous agents - do not climb a rung you do not need.","Full stack control. Only when compliance or customisation demands it.")))))</f>
      </c>
      <c r="F44" s="20">
        <f>IF('Eight questions'!C44="","",IF(OR('Eight questions'!C44="A system event",'Eight questions'!C44="A schedule",'Eight questions'!C44="Another agent"),"Monitor",IF(OR('Eight questions'!F44="4 Enterprise",'Eight questions'!F44="5 External",'Eight questions'!J44="Regulated",'Eight questions'!O44="Real-world effect"),"Build",IF(AND('Eight questions'!C44="A person is already working",'Eight questions'!D44="Inside the tool they have open",'Eight questions'!O44="Read only"),"Assist",IF('Eight questions'!L44="Take an action","Delegate",IF('Eight questions'!O44="Writes to a system","Control",IF('Eight questions'!L44="Static documents","Specialize","Adapt")))))))</f>
      </c>
      <c r="G44" s="16"/>
      <c r="H44" s="20">
        <f>IF(IF(G44="",F44,G44)="","",INDEX(Lists!$B$43:$B$50,MATCH(IF(G44="",F44,G44),Lists!$A$43:$A$50,0)))</f>
      </c>
      <c r="I44" s="20">
        <f>IF(IF(G44="",F44,G44)="","",INDEX(Lists!$C$43:$C$50,MATCH(IF(G44="",F44,G44),Lists!$A$43:$A$50,0)))</f>
      </c>
      <c r="J44" s="16"/>
      <c r="K44" s="17"/>
      <c r="L44" s="20">
        <f>IF('Eight questions'!E44="","",IF('Eight questions'!E44="Must work offline","Yes - rules out anything cloud-only",IF('Eight questions'!E44="Intermittent","Partly - needs offline tolerance","No")))</f>
      </c>
      <c r="M44" s="20">
        <f>IF('Eight questions'!C44="","",IF(OR('Eight questions'!C44="A schedule",'Eight questions'!C44="A system event"),"Yes - rules out anything needing an interactive session","No"))</f>
      </c>
      <c r="N44" s="20">
        <f>IF('Eight questions'!J44="","",IF(OR('Eight questions'!J44="Regulated",'Eight questions'!J44="Confidential"),"Yes - private networking, a stated data location, or local inference","No"))</f>
      </c>
      <c r="O44" s="20">
        <f>IF(OR('Eight questions'!F44="",'Eight questions'!G44=""),"",IF(VALUE(LEFT('Eight questions'!F44,1))&gt;VALUE(LEFT('Eight questions'!G44,1)),"Yes - intended reach exceeds pilot reach","No"))</f>
      </c>
      <c r="P44" s="16"/>
      <c r="Q44" s="16"/>
      <c r="R44" s="20">
        <f>IF('Eight questions'!S44="","",IF('Eight questions'!S44="Yes","Persistent (advisory)","Ephemeral session (transactional)"))</f>
      </c>
      <c r="S44" s="16"/>
    </row>
    <row r="45" ht="30" customHeight="1" spans="1:19" x14ac:dyDescent="0.25">
      <c r="A45" s="20">
        <f>IF(Register!A45="","",Register!A45)</f>
      </c>
      <c r="B45" s="20">
        <f>IF(Register!C45="","",Register!C45)</f>
      </c>
      <c r="C45" s="20">
        <f>IF(IF(Register!U45="",Register!T45,Register!U45)="","",IF(OR(IF(Register!U45="",Register!T45,Register!U45)="Automation",IF(Register!U45="",Register!T45,Register!U45)="Predictive or optimisation"),"1 Not AI",IF(OR('Eight questions'!J45="Regulated",'Eight questions'!O45="Real-world effect",'Assurance and gate'!J45=4),"4 Pro-code",IF(AND('Eight questions'!Q45="Yes",OR('Eight questions'!L45="Nothing",'Eight questions'!L45="Static documents"),'Assurance and gate'!J45&lt;=2),"2 Ready-made","3 Low-code"))))</f>
      </c>
      <c r="D45" s="16"/>
      <c r="E45" s="20">
        <f>IF(IF(D45="",C45,D45)="","",IF(IF(D45="",C45,D45)="1 Not AI","Not AI. Automation platform for fixed rules; Fabric data science or Azure ML for forecasting, scoring and matching.",IF(IF(D45="",C45,D45)="4 Pro-code","Assurance read before category: regulated data, a real-world effect or a full assurance tier escalates the direction regardless of how simple the category looked.",IF(IF(D45="",C45,D45)="2 Ready-made","A published agent covers the function. Adopt and configure. Capped at retrieval and task.",IF(IF(D45="",C45,D45)="3 Low-code","Low-code with governed connectors and built-in responsible AI. Low-code supports autonomous agents - do not climb a rung you do not need.","Full stack control. Only when compliance or customisation demands it.")))))</f>
      </c>
      <c r="F45" s="20">
        <f>IF('Eight questions'!C45="","",IF(OR('Eight questions'!C45="A system event",'Eight questions'!C45="A schedule",'Eight questions'!C45="Another agent"),"Monitor",IF(OR('Eight questions'!F45="4 Enterprise",'Eight questions'!F45="5 External",'Eight questions'!J45="Regulated",'Eight questions'!O45="Real-world effect"),"Build",IF(AND('Eight questions'!C45="A person is already working",'Eight questions'!D45="Inside the tool they have open",'Eight questions'!O45="Read only"),"Assist",IF('Eight questions'!L45="Take an action","Delegate",IF('Eight questions'!O45="Writes to a system","Control",IF('Eight questions'!L45="Static documents","Specialize","Adapt")))))))</f>
      </c>
      <c r="G45" s="16"/>
      <c r="H45" s="20">
        <f>IF(IF(G45="",F45,G45)="","",INDEX(Lists!$B$43:$B$50,MATCH(IF(G45="",F45,G45),Lists!$A$43:$A$50,0)))</f>
      </c>
      <c r="I45" s="20">
        <f>IF(IF(G45="",F45,G45)="","",INDEX(Lists!$C$43:$C$50,MATCH(IF(G45="",F45,G45),Lists!$A$43:$A$50,0)))</f>
      </c>
      <c r="J45" s="16"/>
      <c r="K45" s="17"/>
      <c r="L45" s="20">
        <f>IF('Eight questions'!E45="","",IF('Eight questions'!E45="Must work offline","Yes - rules out anything cloud-only",IF('Eight questions'!E45="Intermittent","Partly - needs offline tolerance","No")))</f>
      </c>
      <c r="M45" s="20">
        <f>IF('Eight questions'!C45="","",IF(OR('Eight questions'!C45="A schedule",'Eight questions'!C45="A system event"),"Yes - rules out anything needing an interactive session","No"))</f>
      </c>
      <c r="N45" s="20">
        <f>IF('Eight questions'!J45="","",IF(OR('Eight questions'!J45="Regulated",'Eight questions'!J45="Confidential"),"Yes - private networking, a stated data location, or local inference","No"))</f>
      </c>
      <c r="O45" s="20">
        <f>IF(OR('Eight questions'!F45="",'Eight questions'!G45=""),"",IF(VALUE(LEFT('Eight questions'!F45,1))&gt;VALUE(LEFT('Eight questions'!G45,1)),"Yes - intended reach exceeds pilot reach","No"))</f>
      </c>
      <c r="P45" s="16"/>
      <c r="Q45" s="16"/>
      <c r="R45" s="20">
        <f>IF('Eight questions'!S45="","",IF('Eight questions'!S45="Yes","Persistent (advisory)","Ephemeral session (transactional)"))</f>
      </c>
      <c r="S45" s="16"/>
    </row>
    <row r="46" ht="30" customHeight="1" spans="1:19" x14ac:dyDescent="0.25">
      <c r="A46" s="20">
        <f>IF(Register!A46="","",Register!A46)</f>
      </c>
      <c r="B46" s="20">
        <f>IF(Register!C46="","",Register!C46)</f>
      </c>
      <c r="C46" s="20">
        <f>IF(IF(Register!U46="",Register!T46,Register!U46)="","",IF(OR(IF(Register!U46="",Register!T46,Register!U46)="Automation",IF(Register!U46="",Register!T46,Register!U46)="Predictive or optimisation"),"1 Not AI",IF(OR('Eight questions'!J46="Regulated",'Eight questions'!O46="Real-world effect",'Assurance and gate'!J46=4),"4 Pro-code",IF(AND('Eight questions'!Q46="Yes",OR('Eight questions'!L46="Nothing",'Eight questions'!L46="Static documents"),'Assurance and gate'!J46&lt;=2),"2 Ready-made","3 Low-code"))))</f>
      </c>
      <c r="D46" s="16"/>
      <c r="E46" s="20">
        <f>IF(IF(D46="",C46,D46)="","",IF(IF(D46="",C46,D46)="1 Not AI","Not AI. Automation platform for fixed rules; Fabric data science or Azure ML for forecasting, scoring and matching.",IF(IF(D46="",C46,D46)="4 Pro-code","Assurance read before category: regulated data, a real-world effect or a full assurance tier escalates the direction regardless of how simple the category looked.",IF(IF(D46="",C46,D46)="2 Ready-made","A published agent covers the function. Adopt and configure. Capped at retrieval and task.",IF(IF(D46="",C46,D46)="3 Low-code","Low-code with governed connectors and built-in responsible AI. Low-code supports autonomous agents - do not climb a rung you do not need.","Full stack control. Only when compliance or customisation demands it.")))))</f>
      </c>
      <c r="F46" s="20">
        <f>IF('Eight questions'!C46="","",IF(OR('Eight questions'!C46="A system event",'Eight questions'!C46="A schedule",'Eight questions'!C46="Another agent"),"Monitor",IF(OR('Eight questions'!F46="4 Enterprise",'Eight questions'!F46="5 External",'Eight questions'!J46="Regulated",'Eight questions'!O46="Real-world effect"),"Build",IF(AND('Eight questions'!C46="A person is already working",'Eight questions'!D46="Inside the tool they have open",'Eight questions'!O46="Read only"),"Assist",IF('Eight questions'!L46="Take an action","Delegate",IF('Eight questions'!O46="Writes to a system","Control",IF('Eight questions'!L46="Static documents","Specialize","Adapt")))))))</f>
      </c>
      <c r="G46" s="16"/>
      <c r="H46" s="20">
        <f>IF(IF(G46="",F46,G46)="","",INDEX(Lists!$B$43:$B$50,MATCH(IF(G46="",F46,G46),Lists!$A$43:$A$50,0)))</f>
      </c>
      <c r="I46" s="20">
        <f>IF(IF(G46="",F46,G46)="","",INDEX(Lists!$C$43:$C$50,MATCH(IF(G46="",F46,G46),Lists!$A$43:$A$50,0)))</f>
      </c>
      <c r="J46" s="16"/>
      <c r="K46" s="17"/>
      <c r="L46" s="20">
        <f>IF('Eight questions'!E46="","",IF('Eight questions'!E46="Must work offline","Yes - rules out anything cloud-only",IF('Eight questions'!E46="Intermittent","Partly - needs offline tolerance","No")))</f>
      </c>
      <c r="M46" s="20">
        <f>IF('Eight questions'!C46="","",IF(OR('Eight questions'!C46="A schedule",'Eight questions'!C46="A system event"),"Yes - rules out anything needing an interactive session","No"))</f>
      </c>
      <c r="N46" s="20">
        <f>IF('Eight questions'!J46="","",IF(OR('Eight questions'!J46="Regulated",'Eight questions'!J46="Confidential"),"Yes - private networking, a stated data location, or local inference","No"))</f>
      </c>
      <c r="O46" s="20">
        <f>IF(OR('Eight questions'!F46="",'Eight questions'!G46=""),"",IF(VALUE(LEFT('Eight questions'!F46,1))&gt;VALUE(LEFT('Eight questions'!G46,1)),"Yes - intended reach exceeds pilot reach","No"))</f>
      </c>
      <c r="P46" s="16"/>
      <c r="Q46" s="16"/>
      <c r="R46" s="20">
        <f>IF('Eight questions'!S46="","",IF('Eight questions'!S46="Yes","Persistent (advisory)","Ephemeral session (transactional)"))</f>
      </c>
      <c r="S46" s="16"/>
    </row>
    <row r="47" ht="30" customHeight="1" spans="1:19" x14ac:dyDescent="0.25">
      <c r="A47" s="20">
        <f>IF(Register!A47="","",Register!A47)</f>
      </c>
      <c r="B47" s="20">
        <f>IF(Register!C47="","",Register!C47)</f>
      </c>
      <c r="C47" s="20">
        <f>IF(IF(Register!U47="",Register!T47,Register!U47)="","",IF(OR(IF(Register!U47="",Register!T47,Register!U47)="Automation",IF(Register!U47="",Register!T47,Register!U47)="Predictive or optimisation"),"1 Not AI",IF(OR('Eight questions'!J47="Regulated",'Eight questions'!O47="Real-world effect",'Assurance and gate'!J47=4),"4 Pro-code",IF(AND('Eight questions'!Q47="Yes",OR('Eight questions'!L47="Nothing",'Eight questions'!L47="Static documents"),'Assurance and gate'!J47&lt;=2),"2 Ready-made","3 Low-code"))))</f>
      </c>
      <c r="D47" s="16"/>
      <c r="E47" s="20">
        <f>IF(IF(D47="",C47,D47)="","",IF(IF(D47="",C47,D47)="1 Not AI","Not AI. Automation platform for fixed rules; Fabric data science or Azure ML for forecasting, scoring and matching.",IF(IF(D47="",C47,D47)="4 Pro-code","Assurance read before category: regulated data, a real-world effect or a full assurance tier escalates the direction regardless of how simple the category looked.",IF(IF(D47="",C47,D47)="2 Ready-made","A published agent covers the function. Adopt and configure. Capped at retrieval and task.",IF(IF(D47="",C47,D47)="3 Low-code","Low-code with governed connectors and built-in responsible AI. Low-code supports autonomous agents - do not climb a rung you do not need.","Full stack control. Only when compliance or customisation demands it.")))))</f>
      </c>
      <c r="F47" s="20">
        <f>IF('Eight questions'!C47="","",IF(OR('Eight questions'!C47="A system event",'Eight questions'!C47="A schedule",'Eight questions'!C47="Another agent"),"Monitor",IF(OR('Eight questions'!F47="4 Enterprise",'Eight questions'!F47="5 External",'Eight questions'!J47="Regulated",'Eight questions'!O47="Real-world effect"),"Build",IF(AND('Eight questions'!C47="A person is already working",'Eight questions'!D47="Inside the tool they have open",'Eight questions'!O47="Read only"),"Assist",IF('Eight questions'!L47="Take an action","Delegate",IF('Eight questions'!O47="Writes to a system","Control",IF('Eight questions'!L47="Static documents","Specialize","Adapt")))))))</f>
      </c>
      <c r="G47" s="16"/>
      <c r="H47" s="20">
        <f>IF(IF(G47="",F47,G47)="","",INDEX(Lists!$B$43:$B$50,MATCH(IF(G47="",F47,G47),Lists!$A$43:$A$50,0)))</f>
      </c>
      <c r="I47" s="20">
        <f>IF(IF(G47="",F47,G47)="","",INDEX(Lists!$C$43:$C$50,MATCH(IF(G47="",F47,G47),Lists!$A$43:$A$50,0)))</f>
      </c>
      <c r="J47" s="16"/>
      <c r="K47" s="17"/>
      <c r="L47" s="20">
        <f>IF('Eight questions'!E47="","",IF('Eight questions'!E47="Must work offline","Yes - rules out anything cloud-only",IF('Eight questions'!E47="Intermittent","Partly - needs offline tolerance","No")))</f>
      </c>
      <c r="M47" s="20">
        <f>IF('Eight questions'!C47="","",IF(OR('Eight questions'!C47="A schedule",'Eight questions'!C47="A system event"),"Yes - rules out anything needing an interactive session","No"))</f>
      </c>
      <c r="N47" s="20">
        <f>IF('Eight questions'!J47="","",IF(OR('Eight questions'!J47="Regulated",'Eight questions'!J47="Confidential"),"Yes - private networking, a stated data location, or local inference","No"))</f>
      </c>
      <c r="O47" s="20">
        <f>IF(OR('Eight questions'!F47="",'Eight questions'!G47=""),"",IF(VALUE(LEFT('Eight questions'!F47,1))&gt;VALUE(LEFT('Eight questions'!G47,1)),"Yes - intended reach exceeds pilot reach","No"))</f>
      </c>
      <c r="P47" s="16"/>
      <c r="Q47" s="16"/>
      <c r="R47" s="20">
        <f>IF('Eight questions'!S47="","",IF('Eight questions'!S47="Yes","Persistent (advisory)","Ephemeral session (transactional)"))</f>
      </c>
      <c r="S47" s="16"/>
    </row>
    <row r="48" ht="30" customHeight="1" spans="1:19" x14ac:dyDescent="0.25">
      <c r="A48" s="20">
        <f>IF(Register!A48="","",Register!A48)</f>
      </c>
      <c r="B48" s="20">
        <f>IF(Register!C48="","",Register!C48)</f>
      </c>
      <c r="C48" s="20">
        <f>IF(IF(Register!U48="",Register!T48,Register!U48)="","",IF(OR(IF(Register!U48="",Register!T48,Register!U48)="Automation",IF(Register!U48="",Register!T48,Register!U48)="Predictive or optimisation"),"1 Not AI",IF(OR('Eight questions'!J48="Regulated",'Eight questions'!O48="Real-world effect",'Assurance and gate'!J48=4),"4 Pro-code",IF(AND('Eight questions'!Q48="Yes",OR('Eight questions'!L48="Nothing",'Eight questions'!L48="Static documents"),'Assurance and gate'!J48&lt;=2),"2 Ready-made","3 Low-code"))))</f>
      </c>
      <c r="D48" s="16"/>
      <c r="E48" s="20">
        <f>IF(IF(D48="",C48,D48)="","",IF(IF(D48="",C48,D48)="1 Not AI","Not AI. Automation platform for fixed rules; Fabric data science or Azure ML for forecasting, scoring and matching.",IF(IF(D48="",C48,D48)="4 Pro-code","Assurance read before category: regulated data, a real-world effect or a full assurance tier escalates the direction regardless of how simple the category looked.",IF(IF(D48="",C48,D48)="2 Ready-made","A published agent covers the function. Adopt and configure. Capped at retrieval and task.",IF(IF(D48="",C48,D48)="3 Low-code","Low-code with governed connectors and built-in responsible AI. Low-code supports autonomous agents - do not climb a rung you do not need.","Full stack control. Only when compliance or customisation demands it.")))))</f>
      </c>
      <c r="F48" s="20">
        <f>IF('Eight questions'!C48="","",IF(OR('Eight questions'!C48="A system event",'Eight questions'!C48="A schedule",'Eight questions'!C48="Another agent"),"Monitor",IF(OR('Eight questions'!F48="4 Enterprise",'Eight questions'!F48="5 External",'Eight questions'!J48="Regulated",'Eight questions'!O48="Real-world effect"),"Build",IF(AND('Eight questions'!C48="A person is already working",'Eight questions'!D48="Inside the tool they have open",'Eight questions'!O48="Read only"),"Assist",IF('Eight questions'!L48="Take an action","Delegate",IF('Eight questions'!O48="Writes to a system","Control",IF('Eight questions'!L48="Static documents","Specialize","Adapt")))))))</f>
      </c>
      <c r="G48" s="16"/>
      <c r="H48" s="20">
        <f>IF(IF(G48="",F48,G48)="","",INDEX(Lists!$B$43:$B$50,MATCH(IF(G48="",F48,G48),Lists!$A$43:$A$50,0)))</f>
      </c>
      <c r="I48" s="20">
        <f>IF(IF(G48="",F48,G48)="","",INDEX(Lists!$C$43:$C$50,MATCH(IF(G48="",F48,G48),Lists!$A$43:$A$50,0)))</f>
      </c>
      <c r="J48" s="16"/>
      <c r="K48" s="17"/>
      <c r="L48" s="20">
        <f>IF('Eight questions'!E48="","",IF('Eight questions'!E48="Must work offline","Yes - rules out anything cloud-only",IF('Eight questions'!E48="Intermittent","Partly - needs offline tolerance","No")))</f>
      </c>
      <c r="M48" s="20">
        <f>IF('Eight questions'!C48="","",IF(OR('Eight questions'!C48="A schedule",'Eight questions'!C48="A system event"),"Yes - rules out anything needing an interactive session","No"))</f>
      </c>
      <c r="N48" s="20">
        <f>IF('Eight questions'!J48="","",IF(OR('Eight questions'!J48="Regulated",'Eight questions'!J48="Confidential"),"Yes - private networking, a stated data location, or local inference","No"))</f>
      </c>
      <c r="O48" s="20">
        <f>IF(OR('Eight questions'!F48="",'Eight questions'!G48=""),"",IF(VALUE(LEFT('Eight questions'!F48,1))&gt;VALUE(LEFT('Eight questions'!G48,1)),"Yes - intended reach exceeds pilot reach","No"))</f>
      </c>
      <c r="P48" s="16"/>
      <c r="Q48" s="16"/>
      <c r="R48" s="20">
        <f>IF('Eight questions'!S48="","",IF('Eight questions'!S48="Yes","Persistent (advisory)","Ephemeral session (transactional)"))</f>
      </c>
      <c r="S48" s="16"/>
    </row>
    <row r="49" ht="30" customHeight="1" spans="1:19" x14ac:dyDescent="0.25">
      <c r="A49" s="20">
        <f>IF(Register!A49="","",Register!A49)</f>
      </c>
      <c r="B49" s="20">
        <f>IF(Register!C49="","",Register!C49)</f>
      </c>
      <c r="C49" s="20">
        <f>IF(IF(Register!U49="",Register!T49,Register!U49)="","",IF(OR(IF(Register!U49="",Register!T49,Register!U49)="Automation",IF(Register!U49="",Register!T49,Register!U49)="Predictive or optimisation"),"1 Not AI",IF(OR('Eight questions'!J49="Regulated",'Eight questions'!O49="Real-world effect",'Assurance and gate'!J49=4),"4 Pro-code",IF(AND('Eight questions'!Q49="Yes",OR('Eight questions'!L49="Nothing",'Eight questions'!L49="Static documents"),'Assurance and gate'!J49&lt;=2),"2 Ready-made","3 Low-code"))))</f>
      </c>
      <c r="D49" s="16"/>
      <c r="E49" s="20">
        <f>IF(IF(D49="",C49,D49)="","",IF(IF(D49="",C49,D49)="1 Not AI","Not AI. Automation platform for fixed rules; Fabric data science or Azure ML for forecasting, scoring and matching.",IF(IF(D49="",C49,D49)="4 Pro-code","Assurance read before category: regulated data, a real-world effect or a full assurance tier escalates the direction regardless of how simple the category looked.",IF(IF(D49="",C49,D49)="2 Ready-made","A published agent covers the function. Adopt and configure. Capped at retrieval and task.",IF(IF(D49="",C49,D49)="3 Low-code","Low-code with governed connectors and built-in responsible AI. Low-code supports autonomous agents - do not climb a rung you do not need.","Full stack control. Only when compliance or customisation demands it.")))))</f>
      </c>
      <c r="F49" s="20">
        <f>IF('Eight questions'!C49="","",IF(OR('Eight questions'!C49="A system event",'Eight questions'!C49="A schedule",'Eight questions'!C49="Another agent"),"Monitor",IF(OR('Eight questions'!F49="4 Enterprise",'Eight questions'!F49="5 External",'Eight questions'!J49="Regulated",'Eight questions'!O49="Real-world effect"),"Build",IF(AND('Eight questions'!C49="A person is already working",'Eight questions'!D49="Inside the tool they have open",'Eight questions'!O49="Read only"),"Assist",IF('Eight questions'!L49="Take an action","Delegate",IF('Eight questions'!O49="Writes to a system","Control",IF('Eight questions'!L49="Static documents","Specialize","Adapt")))))))</f>
      </c>
      <c r="G49" s="16"/>
      <c r="H49" s="20">
        <f>IF(IF(G49="",F49,G49)="","",INDEX(Lists!$B$43:$B$50,MATCH(IF(G49="",F49,G49),Lists!$A$43:$A$50,0)))</f>
      </c>
      <c r="I49" s="20">
        <f>IF(IF(G49="",F49,G49)="","",INDEX(Lists!$C$43:$C$50,MATCH(IF(G49="",F49,G49),Lists!$A$43:$A$50,0)))</f>
      </c>
      <c r="J49" s="16"/>
      <c r="K49" s="17"/>
      <c r="L49" s="20">
        <f>IF('Eight questions'!E49="","",IF('Eight questions'!E49="Must work offline","Yes - rules out anything cloud-only",IF('Eight questions'!E49="Intermittent","Partly - needs offline tolerance","No")))</f>
      </c>
      <c r="M49" s="20">
        <f>IF('Eight questions'!C49="","",IF(OR('Eight questions'!C49="A schedule",'Eight questions'!C49="A system event"),"Yes - rules out anything needing an interactive session","No"))</f>
      </c>
      <c r="N49" s="20">
        <f>IF('Eight questions'!J49="","",IF(OR('Eight questions'!J49="Regulated",'Eight questions'!J49="Confidential"),"Yes - private networking, a stated data location, or local inference","No"))</f>
      </c>
      <c r="O49" s="20">
        <f>IF(OR('Eight questions'!F49="",'Eight questions'!G49=""),"",IF(VALUE(LEFT('Eight questions'!F49,1))&gt;VALUE(LEFT('Eight questions'!G49,1)),"Yes - intended reach exceeds pilot reach","No"))</f>
      </c>
      <c r="P49" s="16"/>
      <c r="Q49" s="16"/>
      <c r="R49" s="20">
        <f>IF('Eight questions'!S49="","",IF('Eight questions'!S49="Yes","Persistent (advisory)","Ephemeral session (transactional)"))</f>
      </c>
      <c r="S49" s="16"/>
    </row>
    <row r="50" ht="30" customHeight="1" spans="1:19" x14ac:dyDescent="0.25">
      <c r="A50" s="20">
        <f>IF(Register!A50="","",Register!A50)</f>
      </c>
      <c r="B50" s="20">
        <f>IF(Register!C50="","",Register!C50)</f>
      </c>
      <c r="C50" s="20">
        <f>IF(IF(Register!U50="",Register!T50,Register!U50)="","",IF(OR(IF(Register!U50="",Register!T50,Register!U50)="Automation",IF(Register!U50="",Register!T50,Register!U50)="Predictive or optimisation"),"1 Not AI",IF(OR('Eight questions'!J50="Regulated",'Eight questions'!O50="Real-world effect",'Assurance and gate'!J50=4),"4 Pro-code",IF(AND('Eight questions'!Q50="Yes",OR('Eight questions'!L50="Nothing",'Eight questions'!L50="Static documents"),'Assurance and gate'!J50&lt;=2),"2 Ready-made","3 Low-code"))))</f>
      </c>
      <c r="D50" s="16"/>
      <c r="E50" s="20">
        <f>IF(IF(D50="",C50,D50)="","",IF(IF(D50="",C50,D50)="1 Not AI","Not AI. Automation platform for fixed rules; Fabric data science or Azure ML for forecasting, scoring and matching.",IF(IF(D50="",C50,D50)="4 Pro-code","Assurance read before category: regulated data, a real-world effect or a full assurance tier escalates the direction regardless of how simple the category looked.",IF(IF(D50="",C50,D50)="2 Ready-made","A published agent covers the function. Adopt and configure. Capped at retrieval and task.",IF(IF(D50="",C50,D50)="3 Low-code","Low-code with governed connectors and built-in responsible AI. Low-code supports autonomous agents - do not climb a rung you do not need.","Full stack control. Only when compliance or customisation demands it.")))))</f>
      </c>
      <c r="F50" s="20">
        <f>IF('Eight questions'!C50="","",IF(OR('Eight questions'!C50="A system event",'Eight questions'!C50="A schedule",'Eight questions'!C50="Another agent"),"Monitor",IF(OR('Eight questions'!F50="4 Enterprise",'Eight questions'!F50="5 External",'Eight questions'!J50="Regulated",'Eight questions'!O50="Real-world effect"),"Build",IF(AND('Eight questions'!C50="A person is already working",'Eight questions'!D50="Inside the tool they have open",'Eight questions'!O50="Read only"),"Assist",IF('Eight questions'!L50="Take an action","Delegate",IF('Eight questions'!O50="Writes to a system","Control",IF('Eight questions'!L50="Static documents","Specialize","Adapt")))))))</f>
      </c>
      <c r="G50" s="16"/>
      <c r="H50" s="20">
        <f>IF(IF(G50="",F50,G50)="","",INDEX(Lists!$B$43:$B$50,MATCH(IF(G50="",F50,G50),Lists!$A$43:$A$50,0)))</f>
      </c>
      <c r="I50" s="20">
        <f>IF(IF(G50="",F50,G50)="","",INDEX(Lists!$C$43:$C$50,MATCH(IF(G50="",F50,G50),Lists!$A$43:$A$50,0)))</f>
      </c>
      <c r="J50" s="16"/>
      <c r="K50" s="17"/>
      <c r="L50" s="20">
        <f>IF('Eight questions'!E50="","",IF('Eight questions'!E50="Must work offline","Yes - rules out anything cloud-only",IF('Eight questions'!E50="Intermittent","Partly - needs offline tolerance","No")))</f>
      </c>
      <c r="M50" s="20">
        <f>IF('Eight questions'!C50="","",IF(OR('Eight questions'!C50="A schedule",'Eight questions'!C50="A system event"),"Yes - rules out anything needing an interactive session","No"))</f>
      </c>
      <c r="N50" s="20">
        <f>IF('Eight questions'!J50="","",IF(OR('Eight questions'!J50="Regulated",'Eight questions'!J50="Confidential"),"Yes - private networking, a stated data location, or local inference","No"))</f>
      </c>
      <c r="O50" s="20">
        <f>IF(OR('Eight questions'!F50="",'Eight questions'!G50=""),"",IF(VALUE(LEFT('Eight questions'!F50,1))&gt;VALUE(LEFT('Eight questions'!G50,1)),"Yes - intended reach exceeds pilot reach","No"))</f>
      </c>
      <c r="P50" s="16"/>
      <c r="Q50" s="16"/>
      <c r="R50" s="20">
        <f>IF('Eight questions'!S50="","",IF('Eight questions'!S50="Yes","Persistent (advisory)","Ephemeral session (transactional)"))</f>
      </c>
      <c r="S50" s="16"/>
    </row>
    <row r="51" ht="30" customHeight="1" spans="1:19" x14ac:dyDescent="0.25">
      <c r="A51" s="20">
        <f>IF(Register!A51="","",Register!A51)</f>
      </c>
      <c r="B51" s="20">
        <f>IF(Register!C51="","",Register!C51)</f>
      </c>
      <c r="C51" s="20">
        <f>IF(IF(Register!U51="",Register!T51,Register!U51)="","",IF(OR(IF(Register!U51="",Register!T51,Register!U51)="Automation",IF(Register!U51="",Register!T51,Register!U51)="Predictive or optimisation"),"1 Not AI",IF(OR('Eight questions'!J51="Regulated",'Eight questions'!O51="Real-world effect",'Assurance and gate'!J51=4),"4 Pro-code",IF(AND('Eight questions'!Q51="Yes",OR('Eight questions'!L51="Nothing",'Eight questions'!L51="Static documents"),'Assurance and gate'!J51&lt;=2),"2 Ready-made","3 Low-code"))))</f>
      </c>
      <c r="D51" s="16"/>
      <c r="E51" s="20">
        <f>IF(IF(D51="",C51,D51)="","",IF(IF(D51="",C51,D51)="1 Not AI","Not AI. Automation platform for fixed rules; Fabric data science or Azure ML for forecasting, scoring and matching.",IF(IF(D51="",C51,D51)="4 Pro-code","Assurance read before category: regulated data, a real-world effect or a full assurance tier escalates the direction regardless of how simple the category looked.",IF(IF(D51="",C51,D51)="2 Ready-made","A published agent covers the function. Adopt and configure. Capped at retrieval and task.",IF(IF(D51="",C51,D51)="3 Low-code","Low-code with governed connectors and built-in responsible AI. Low-code supports autonomous agents - do not climb a rung you do not need.","Full stack control. Only when compliance or customisation demands it.")))))</f>
      </c>
      <c r="F51" s="20">
        <f>IF('Eight questions'!C51="","",IF(OR('Eight questions'!C51="A system event",'Eight questions'!C51="A schedule",'Eight questions'!C51="Another agent"),"Monitor",IF(OR('Eight questions'!F51="4 Enterprise",'Eight questions'!F51="5 External",'Eight questions'!J51="Regulated",'Eight questions'!O51="Real-world effect"),"Build",IF(AND('Eight questions'!C51="A person is already working",'Eight questions'!D51="Inside the tool they have open",'Eight questions'!O51="Read only"),"Assist",IF('Eight questions'!L51="Take an action","Delegate",IF('Eight questions'!O51="Writes to a system","Control",IF('Eight questions'!L51="Static documents","Specialize","Adapt")))))))</f>
      </c>
      <c r="G51" s="16"/>
      <c r="H51" s="20">
        <f>IF(IF(G51="",F51,G51)="","",INDEX(Lists!$B$43:$B$50,MATCH(IF(G51="",F51,G51),Lists!$A$43:$A$50,0)))</f>
      </c>
      <c r="I51" s="20">
        <f>IF(IF(G51="",F51,G51)="","",INDEX(Lists!$C$43:$C$50,MATCH(IF(G51="",F51,G51),Lists!$A$43:$A$50,0)))</f>
      </c>
      <c r="J51" s="16"/>
      <c r="K51" s="17"/>
      <c r="L51" s="20">
        <f>IF('Eight questions'!E51="","",IF('Eight questions'!E51="Must work offline","Yes - rules out anything cloud-only",IF('Eight questions'!E51="Intermittent","Partly - needs offline tolerance","No")))</f>
      </c>
      <c r="M51" s="20">
        <f>IF('Eight questions'!C51="","",IF(OR('Eight questions'!C51="A schedule",'Eight questions'!C51="A system event"),"Yes - rules out anything needing an interactive session","No"))</f>
      </c>
      <c r="N51" s="20">
        <f>IF('Eight questions'!J51="","",IF(OR('Eight questions'!J51="Regulated",'Eight questions'!J51="Confidential"),"Yes - private networking, a stated data location, or local inference","No"))</f>
      </c>
      <c r="O51" s="20">
        <f>IF(OR('Eight questions'!F51="",'Eight questions'!G51=""),"",IF(VALUE(LEFT('Eight questions'!F51,1))&gt;VALUE(LEFT('Eight questions'!G51,1)),"Yes - intended reach exceeds pilot reach","No"))</f>
      </c>
      <c r="P51" s="16"/>
      <c r="Q51" s="16"/>
      <c r="R51" s="20">
        <f>IF('Eight questions'!S51="","",IF('Eight questions'!S51="Yes","Persistent (advisory)","Ephemeral session (transactional)"))</f>
      </c>
      <c r="S51" s="16"/>
    </row>
    <row r="52" ht="30" customHeight="1" spans="1:19" x14ac:dyDescent="0.25">
      <c r="A52" s="20">
        <f>IF(Register!A52="","",Register!A52)</f>
      </c>
      <c r="B52" s="20">
        <f>IF(Register!C52="","",Register!C52)</f>
      </c>
      <c r="C52" s="20">
        <f>IF(IF(Register!U52="",Register!T52,Register!U52)="","",IF(OR(IF(Register!U52="",Register!T52,Register!U52)="Automation",IF(Register!U52="",Register!T52,Register!U52)="Predictive or optimisation"),"1 Not AI",IF(OR('Eight questions'!J52="Regulated",'Eight questions'!O52="Real-world effect",'Assurance and gate'!J52=4),"4 Pro-code",IF(AND('Eight questions'!Q52="Yes",OR('Eight questions'!L52="Nothing",'Eight questions'!L52="Static documents"),'Assurance and gate'!J52&lt;=2),"2 Ready-made","3 Low-code"))))</f>
      </c>
      <c r="D52" s="16"/>
      <c r="E52" s="20">
        <f>IF(IF(D52="",C52,D52)="","",IF(IF(D52="",C52,D52)="1 Not AI","Not AI. Automation platform for fixed rules; Fabric data science or Azure ML for forecasting, scoring and matching.",IF(IF(D52="",C52,D52)="4 Pro-code","Assurance read before category: regulated data, a real-world effect or a full assurance tier escalates the direction regardless of how simple the category looked.",IF(IF(D52="",C52,D52)="2 Ready-made","A published agent covers the function. Adopt and configure. Capped at retrieval and task.",IF(IF(D52="",C52,D52)="3 Low-code","Low-code with governed connectors and built-in responsible AI. Low-code supports autonomous agents - do not climb a rung you do not need.","Full stack control. Only when compliance or customisation demands it.")))))</f>
      </c>
      <c r="F52" s="20">
        <f>IF('Eight questions'!C52="","",IF(OR('Eight questions'!C52="A system event",'Eight questions'!C52="A schedule",'Eight questions'!C52="Another agent"),"Monitor",IF(OR('Eight questions'!F52="4 Enterprise",'Eight questions'!F52="5 External",'Eight questions'!J52="Regulated",'Eight questions'!O52="Real-world effect"),"Build",IF(AND('Eight questions'!C52="A person is already working",'Eight questions'!D52="Inside the tool they have open",'Eight questions'!O52="Read only"),"Assist",IF('Eight questions'!L52="Take an action","Delegate",IF('Eight questions'!O52="Writes to a system","Control",IF('Eight questions'!L52="Static documents","Specialize","Adapt")))))))</f>
      </c>
      <c r="G52" s="16"/>
      <c r="H52" s="20">
        <f>IF(IF(G52="",F52,G52)="","",INDEX(Lists!$B$43:$B$50,MATCH(IF(G52="",F52,G52),Lists!$A$43:$A$50,0)))</f>
      </c>
      <c r="I52" s="20">
        <f>IF(IF(G52="",F52,G52)="","",INDEX(Lists!$C$43:$C$50,MATCH(IF(G52="",F52,G52),Lists!$A$43:$A$50,0)))</f>
      </c>
      <c r="J52" s="16"/>
      <c r="K52" s="17"/>
      <c r="L52" s="20">
        <f>IF('Eight questions'!E52="","",IF('Eight questions'!E52="Must work offline","Yes - rules out anything cloud-only",IF('Eight questions'!E52="Intermittent","Partly - needs offline tolerance","No")))</f>
      </c>
      <c r="M52" s="20">
        <f>IF('Eight questions'!C52="","",IF(OR('Eight questions'!C52="A schedule",'Eight questions'!C52="A system event"),"Yes - rules out anything needing an interactive session","No"))</f>
      </c>
      <c r="N52" s="20">
        <f>IF('Eight questions'!J52="","",IF(OR('Eight questions'!J52="Regulated",'Eight questions'!J52="Confidential"),"Yes - private networking, a stated data location, or local inference","No"))</f>
      </c>
      <c r="O52" s="20">
        <f>IF(OR('Eight questions'!F52="",'Eight questions'!G52=""),"",IF(VALUE(LEFT('Eight questions'!F52,1))&gt;VALUE(LEFT('Eight questions'!G52,1)),"Yes - intended reach exceeds pilot reach","No"))</f>
      </c>
      <c r="P52" s="16"/>
      <c r="Q52" s="16"/>
      <c r="R52" s="20">
        <f>IF('Eight questions'!S52="","",IF('Eight questions'!S52="Yes","Persistent (advisory)","Ephemeral session (transactional)"))</f>
      </c>
      <c r="S52" s="16"/>
    </row>
  </sheetData>
  <autoFilter ref="A2:S52"/>
  <mergeCells count="5">
    <mergeCell ref="A1:B1"/>
    <mergeCell ref="C1:E1"/>
    <mergeCell ref="F1:K1"/>
    <mergeCell ref="L1:O1"/>
    <mergeCell ref="P1:S1"/>
  </mergeCells>
  <dataValidations count="8">
    <dataValidation type="list" allowBlank="1" sqref="D10:D52">
      <formula1>Lists!$S$3:$S$7</formula1>
    </dataValidation>
    <dataValidation type="list" allowBlank="1" sqref="D3:D52">
      <formula1>Lists!$S$3:$S$7</formula1>
    </dataValidation>
    <dataValidation type="list" allowBlank="1" sqref="G10:G52">
      <formula1>Lists!$O$3:$O$10</formula1>
    </dataValidation>
    <dataValidation type="list" allowBlank="1" sqref="G3:G52">
      <formula1>Lists!$O$3:$O$10</formula1>
    </dataValidation>
    <dataValidation type="list" allowBlank="1" sqref="P10:P52">
      <formula1>Lists!$V$3:$V$6</formula1>
    </dataValidation>
    <dataValidation type="list" allowBlank="1" sqref="P3:P52">
      <formula1>Lists!$V$3:$V$6</formula1>
    </dataValidation>
    <dataValidation type="list" allowBlank="1" sqref="S10:S52">
      <formula1>Lists!$T$3:$T$6</formula1>
    </dataValidation>
    <dataValidation type="list" allowBlank="1" sqref="S3:S52">
      <formula1>Lists!$T$3:$T$6</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C2E91"/>
  </sheetPr>
  <dimension ref="A1:X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4" width="12" customWidth="1"/>
    <col min="5" max="5" width="8" customWidth="1"/>
    <col min="6" max="6" width="11" customWidth="1"/>
    <col min="7" max="7" width="28" customWidth="1"/>
    <col min="8" max="8" width="11" customWidth="1"/>
    <col min="9" max="12" width="12" customWidth="1"/>
    <col min="13" max="13" width="13" customWidth="1"/>
    <col min="14" max="14" width="22" customWidth="1"/>
    <col min="15" max="16" width="12" customWidth="1"/>
    <col min="17" max="17" width="14" customWidth="1"/>
    <col min="18" max="18" width="12" customWidth="1"/>
    <col min="19" max="19" width="16" customWidth="1"/>
    <col min="20" max="20" width="30" customWidth="1"/>
    <col min="21" max="21" width="12" customWidth="1"/>
    <col min="22" max="22" width="10" customWidth="1"/>
    <col min="23" max="23" width="12" customWidth="1"/>
    <col min="24" max="24" width="20" customWidth="1"/>
  </cols>
  <sheetData>
    <row r="1" ht="20" customHeight="1" spans="1:24" x14ac:dyDescent="0.25">
      <c r="A1" s="11" t="s">
        <v>331</v>
      </c>
      <c r="B1" s="11"/>
      <c r="C1" s="12" t="s">
        <v>466</v>
      </c>
      <c r="D1" s="12"/>
      <c r="E1" s="12"/>
      <c r="F1" s="12"/>
      <c r="G1" s="12"/>
      <c r="H1" s="12"/>
      <c r="I1" s="12"/>
      <c r="J1" s="12"/>
      <c r="K1" s="12"/>
      <c r="L1" s="12"/>
      <c r="M1" s="12"/>
      <c r="N1" s="22" t="s">
        <v>467</v>
      </c>
      <c r="O1" s="22"/>
      <c r="P1" s="22"/>
      <c r="Q1" s="22"/>
      <c r="R1" s="22"/>
      <c r="S1" s="22"/>
      <c r="T1" s="22"/>
      <c r="U1" s="22"/>
      <c r="V1" s="22"/>
      <c r="W1" s="22"/>
      <c r="X1" s="22"/>
    </row>
    <row r="2" ht="48" customHeight="1" spans="1:24" x14ac:dyDescent="0.25">
      <c r="A2" s="15" t="s">
        <v>296</v>
      </c>
      <c r="B2" s="15" t="s">
        <v>335</v>
      </c>
      <c r="C2" s="15" t="s">
        <v>468</v>
      </c>
      <c r="D2" s="15" t="s">
        <v>469</v>
      </c>
      <c r="E2" s="15" t="s">
        <v>470</v>
      </c>
      <c r="F2" s="15" t="s">
        <v>471</v>
      </c>
      <c r="G2" s="15" t="s">
        <v>472</v>
      </c>
      <c r="H2" s="15" t="s">
        <v>473</v>
      </c>
      <c r="I2" s="15" t="s">
        <v>474</v>
      </c>
      <c r="J2" s="15" t="s">
        <v>475</v>
      </c>
      <c r="K2" s="15" t="s">
        <v>476</v>
      </c>
      <c r="L2" s="15" t="s">
        <v>477</v>
      </c>
      <c r="M2" s="15" t="s">
        <v>478</v>
      </c>
      <c r="N2" s="15" t="s">
        <v>479</v>
      </c>
      <c r="O2" s="15" t="s">
        <v>480</v>
      </c>
      <c r="P2" s="15" t="s">
        <v>481</v>
      </c>
      <c r="Q2" s="15" t="s">
        <v>482</v>
      </c>
      <c r="R2" s="15" t="s">
        <v>483</v>
      </c>
      <c r="S2" s="15" t="s">
        <v>484</v>
      </c>
      <c r="T2" s="15" t="s">
        <v>485</v>
      </c>
      <c r="U2" s="15" t="s">
        <v>486</v>
      </c>
      <c r="V2" s="15" t="s">
        <v>487</v>
      </c>
      <c r="W2" s="15" t="s">
        <v>488</v>
      </c>
      <c r="X2" s="15" t="s">
        <v>489</v>
      </c>
    </row>
    <row r="3" ht="30" customHeight="1" spans="1:24" x14ac:dyDescent="0.25">
      <c r="A3" s="20">
        <f>IF(Register!A3="","",Register!A3)</f>
      </c>
      <c r="B3" s="20">
        <f>IF(Register!C3="","",Register!C3)</f>
      </c>
      <c r="C3" s="17">
        <v>46222.58333333333</v>
      </c>
      <c r="D3" s="17">
        <v>46233.58333333333</v>
      </c>
      <c r="E3" s="31">
        <f>IF(COUNT(C3:D3)&lt;2,"",D3-C3)</f>
      </c>
      <c r="F3" s="20">
        <f>IF(E3="","",IF(E3&lt;=14,"Yes","No - over two weeks"))</f>
      </c>
      <c r="G3" s="16" t="s">
        <v>490</v>
      </c>
      <c r="H3" s="16" t="s">
        <v>34</v>
      </c>
      <c r="I3" s="16" t="s">
        <v>34</v>
      </c>
      <c r="J3" s="17">
        <v>46247.58333333333</v>
      </c>
      <c r="K3" s="16" t="s">
        <v>34</v>
      </c>
      <c r="L3" s="17">
        <v>46258.58333333333</v>
      </c>
      <c r="M3" s="20">
        <f>IF(COUNTA(H3,I3,K3)=0,"",IF(AND(H3="Yes",I3="Yes",K3="Yes",'Assurance and gate'!W3="Passed"),"Yes","Not yet"))</f>
      </c>
      <c r="N3" s="20">
        <f>IF('Outcome contract'!D3="","",'Outcome contract'!D3)</f>
      </c>
      <c r="O3" s="16" t="s">
        <v>491</v>
      </c>
      <c r="P3" s="17">
        <v>46265.58333333333</v>
      </c>
      <c r="Q3" s="16" t="s">
        <v>492</v>
      </c>
      <c r="R3" s="17">
        <v>46265.58333333333</v>
      </c>
      <c r="S3" s="16" t="s">
        <v>362</v>
      </c>
      <c r="T3" s="16" t="s">
        <v>493</v>
      </c>
      <c r="U3" s="17">
        <v>46265.58333333333</v>
      </c>
      <c r="V3" s="16" t="s">
        <v>34</v>
      </c>
      <c r="W3" s="16" t="s">
        <v>494</v>
      </c>
      <c r="X3" s="16" t="s">
        <v>495</v>
      </c>
    </row>
    <row r="4" ht="30" customHeight="1" spans="1:24" x14ac:dyDescent="0.25">
      <c r="A4" s="20">
        <f>IF(Register!A4="","",Register!A4)</f>
      </c>
      <c r="B4" s="20">
        <f>IF(Register!C4="","",Register!C4)</f>
      </c>
      <c r="C4" s="17">
        <v>46278.58333333333</v>
      </c>
      <c r="D4" s="17">
        <v>46289.58333333333</v>
      </c>
      <c r="E4" s="31">
        <f>IF(COUNT(C4:D4)&lt;2,"",D4-C4)</f>
      </c>
      <c r="F4" s="20">
        <f>IF(E4="","",IF(E4&lt;=14,"Yes","No - over two weeks"))</f>
      </c>
      <c r="G4" s="16" t="s">
        <v>496</v>
      </c>
      <c r="H4" s="16" t="s">
        <v>56</v>
      </c>
      <c r="I4" s="16" t="s">
        <v>56</v>
      </c>
      <c r="J4" s="17"/>
      <c r="K4" s="16" t="s">
        <v>56</v>
      </c>
      <c r="L4" s="17"/>
      <c r="M4" s="20">
        <f>IF(COUNTA(H4,I4,K4)=0,"",IF(AND(H4="Yes",I4="Yes",K4="Yes",'Assurance and gate'!W4="Passed"),"Yes","Not yet"))</f>
      </c>
      <c r="N4" s="20">
        <f>IF('Outcome contract'!D4="","",'Outcome contract'!D4)</f>
      </c>
      <c r="O4" s="16"/>
      <c r="P4" s="17"/>
      <c r="Q4" s="16" t="s">
        <v>497</v>
      </c>
      <c r="R4" s="17"/>
      <c r="S4" s="16" t="s">
        <v>498</v>
      </c>
      <c r="T4" s="16" t="s">
        <v>499</v>
      </c>
      <c r="U4" s="17"/>
      <c r="V4" s="16" t="s">
        <v>34</v>
      </c>
      <c r="W4" s="16"/>
      <c r="X4" s="16"/>
    </row>
    <row r="5" ht="30" customHeight="1" spans="1:24" x14ac:dyDescent="0.25">
      <c r="A5" s="20">
        <f>IF(Register!A5="","",Register!A5)</f>
      </c>
      <c r="B5" s="20">
        <f>IF(Register!C5="","",Register!C5)</f>
      </c>
      <c r="C5" s="17"/>
      <c r="D5" s="17"/>
      <c r="E5" s="31">
        <f>IF(COUNT(C5:D5)&lt;2,"",D5-C5)</f>
      </c>
      <c r="F5" s="20">
        <f>IF(E5="","",IF(E5&lt;=14,"Yes","No - over two weeks"))</f>
      </c>
      <c r="G5" s="16"/>
      <c r="H5" s="16"/>
      <c r="I5" s="16"/>
      <c r="J5" s="17"/>
      <c r="K5" s="16"/>
      <c r="L5" s="17"/>
      <c r="M5" s="20">
        <f>IF(COUNTA(H5,I5,K5)=0,"",IF(AND(H5="Yes",I5="Yes",K5="Yes",'Assurance and gate'!W5="Passed"),"Yes","Not yet"))</f>
      </c>
      <c r="N5" s="20">
        <f>IF('Outcome contract'!D5="","",'Outcome contract'!D5)</f>
      </c>
      <c r="O5" s="16"/>
      <c r="P5" s="17"/>
      <c r="Q5" s="16"/>
      <c r="R5" s="17"/>
      <c r="S5" s="16"/>
      <c r="T5" s="16"/>
      <c r="U5" s="17"/>
      <c r="V5" s="16"/>
      <c r="W5" s="16"/>
      <c r="X5" s="16"/>
    </row>
    <row r="6" ht="30" customHeight="1" spans="1:24" x14ac:dyDescent="0.25">
      <c r="A6" s="20">
        <f>IF(Register!A6="","",Register!A6)</f>
      </c>
      <c r="B6" s="20">
        <f>IF(Register!C6="","",Register!C6)</f>
      </c>
      <c r="C6" s="17"/>
      <c r="D6" s="17"/>
      <c r="E6" s="31">
        <f>IF(COUNT(C6:D6)&lt;2,"",D6-C6)</f>
      </c>
      <c r="F6" s="20">
        <f>IF(E6="","",IF(E6&lt;=14,"Yes","No - over two weeks"))</f>
      </c>
      <c r="G6" s="16"/>
      <c r="H6" s="16"/>
      <c r="I6" s="16"/>
      <c r="J6" s="17"/>
      <c r="K6" s="16"/>
      <c r="L6" s="17"/>
      <c r="M6" s="20">
        <f>IF(COUNTA(H6,I6,K6)=0,"",IF(AND(H6="Yes",I6="Yes",K6="Yes",'Assurance and gate'!W6="Passed"),"Yes","Not yet"))</f>
      </c>
      <c r="N6" s="20">
        <f>IF('Outcome contract'!D6="","",'Outcome contract'!D6)</f>
      </c>
      <c r="O6" s="16"/>
      <c r="P6" s="17"/>
      <c r="Q6" s="16"/>
      <c r="R6" s="17"/>
      <c r="S6" s="16"/>
      <c r="T6" s="16"/>
      <c r="U6" s="17"/>
      <c r="V6" s="16"/>
      <c r="W6" s="16"/>
      <c r="X6" s="16"/>
    </row>
    <row r="7" ht="30" customHeight="1" spans="1:24" x14ac:dyDescent="0.25">
      <c r="A7" s="20">
        <f>IF(Register!A7="","",Register!A7)</f>
      </c>
      <c r="B7" s="20">
        <f>IF(Register!C7="","",Register!C7)</f>
      </c>
      <c r="C7" s="17"/>
      <c r="D7" s="17"/>
      <c r="E7" s="31">
        <f>IF(COUNT(C7:D7)&lt;2,"",D7-C7)</f>
      </c>
      <c r="F7" s="20">
        <f>IF(E7="","",IF(E7&lt;=14,"Yes","No - over two weeks"))</f>
      </c>
      <c r="G7" s="16"/>
      <c r="H7" s="16"/>
      <c r="I7" s="16"/>
      <c r="J7" s="17"/>
      <c r="K7" s="16"/>
      <c r="L7" s="17"/>
      <c r="M7" s="20">
        <f>IF(COUNTA(H7,I7,K7)=0,"",IF(AND(H7="Yes",I7="Yes",K7="Yes",'Assurance and gate'!W7="Passed"),"Yes","Not yet"))</f>
      </c>
      <c r="N7" s="20">
        <f>IF('Outcome contract'!D7="","",'Outcome contract'!D7)</f>
      </c>
      <c r="O7" s="16"/>
      <c r="P7" s="17"/>
      <c r="Q7" s="16"/>
      <c r="R7" s="17"/>
      <c r="S7" s="16"/>
      <c r="T7" s="16"/>
      <c r="U7" s="17"/>
      <c r="V7" s="16"/>
      <c r="W7" s="16"/>
      <c r="X7" s="16"/>
    </row>
    <row r="8" ht="30" customHeight="1" spans="1:24" x14ac:dyDescent="0.25">
      <c r="A8" s="20">
        <f>IF(Register!A8="","",Register!A8)</f>
      </c>
      <c r="B8" s="20">
        <f>IF(Register!C8="","",Register!C8)</f>
      </c>
      <c r="C8" s="17"/>
      <c r="D8" s="17"/>
      <c r="E8" s="31">
        <f>IF(COUNT(C8:D8)&lt;2,"",D8-C8)</f>
      </c>
      <c r="F8" s="20">
        <f>IF(E8="","",IF(E8&lt;=14,"Yes","No - over two weeks"))</f>
      </c>
      <c r="G8" s="16"/>
      <c r="H8" s="16"/>
      <c r="I8" s="16"/>
      <c r="J8" s="17"/>
      <c r="K8" s="16"/>
      <c r="L8" s="17"/>
      <c r="M8" s="20">
        <f>IF(COUNTA(H8,I8,K8)=0,"",IF(AND(H8="Yes",I8="Yes",K8="Yes",'Assurance and gate'!W8="Passed"),"Yes","Not yet"))</f>
      </c>
      <c r="N8" s="20">
        <f>IF('Outcome contract'!D8="","",'Outcome contract'!D8)</f>
      </c>
      <c r="O8" s="16"/>
      <c r="P8" s="17"/>
      <c r="Q8" s="16"/>
      <c r="R8" s="17"/>
      <c r="S8" s="16"/>
      <c r="T8" s="16"/>
      <c r="U8" s="17"/>
      <c r="V8" s="16"/>
      <c r="W8" s="16"/>
      <c r="X8" s="16"/>
    </row>
    <row r="9" ht="30" customHeight="1" spans="1:24" x14ac:dyDescent="0.25">
      <c r="A9" s="20">
        <f>IF(Register!A9="","",Register!A9)</f>
      </c>
      <c r="B9" s="20">
        <f>IF(Register!C9="","",Register!C9)</f>
      </c>
      <c r="C9" s="17"/>
      <c r="D9" s="17"/>
      <c r="E9" s="31">
        <f>IF(COUNT(C9:D9)&lt;2,"",D9-C9)</f>
      </c>
      <c r="F9" s="20">
        <f>IF(E9="","",IF(E9&lt;=14,"Yes","No - over two weeks"))</f>
      </c>
      <c r="G9" s="16"/>
      <c r="H9" s="16"/>
      <c r="I9" s="16"/>
      <c r="J9" s="17"/>
      <c r="K9" s="16"/>
      <c r="L9" s="17"/>
      <c r="M9" s="20">
        <f>IF(COUNTA(H9,I9,K9)=0,"",IF(AND(H9="Yes",I9="Yes",K9="Yes",'Assurance and gate'!W9="Passed"),"Yes","Not yet"))</f>
      </c>
      <c r="N9" s="20">
        <f>IF('Outcome contract'!D9="","",'Outcome contract'!D9)</f>
      </c>
      <c r="O9" s="16"/>
      <c r="P9" s="17"/>
      <c r="Q9" s="16"/>
      <c r="R9" s="17"/>
      <c r="S9" s="16"/>
      <c r="T9" s="16"/>
      <c r="U9" s="17"/>
      <c r="V9" s="16"/>
      <c r="W9" s="16"/>
      <c r="X9" s="16"/>
    </row>
    <row r="10" ht="30" customHeight="1" spans="1:24" x14ac:dyDescent="0.25">
      <c r="A10" s="20">
        <f>IF(Register!A10="","",Register!A10)</f>
      </c>
      <c r="B10" s="20">
        <f>IF(Register!C10="","",Register!C10)</f>
      </c>
      <c r="C10" s="17"/>
      <c r="D10" s="17"/>
      <c r="E10" s="31">
        <f>IF(COUNT(C10:D10)&lt;2,"",D10-C10)</f>
      </c>
      <c r="F10" s="20">
        <f>IF(E10="","",IF(E10&lt;=14,"Yes","No - over two weeks"))</f>
      </c>
      <c r="G10" s="16"/>
      <c r="H10" s="16"/>
      <c r="I10" s="16"/>
      <c r="J10" s="17"/>
      <c r="K10" s="16"/>
      <c r="L10" s="17"/>
      <c r="M10" s="20">
        <f>IF(COUNTA(H10,I10,K10)=0,"",IF(AND(H10="Yes",I10="Yes",K10="Yes",'Assurance and gate'!W10="Passed"),"Yes","Not yet"))</f>
      </c>
      <c r="N10" s="20">
        <f>IF('Outcome contract'!D10="","",'Outcome contract'!D10)</f>
      </c>
      <c r="O10" s="16"/>
      <c r="P10" s="17"/>
      <c r="Q10" s="16"/>
      <c r="R10" s="17"/>
      <c r="S10" s="16"/>
      <c r="T10" s="16"/>
      <c r="U10" s="17"/>
      <c r="V10" s="16"/>
      <c r="W10" s="16"/>
      <c r="X10" s="16"/>
    </row>
    <row r="11" ht="30" customHeight="1" spans="1:24" x14ac:dyDescent="0.25">
      <c r="A11" s="20">
        <f>IF(Register!A11="","",Register!A11)</f>
      </c>
      <c r="B11" s="20">
        <f>IF(Register!C11="","",Register!C11)</f>
      </c>
      <c r="C11" s="17"/>
      <c r="D11" s="17"/>
      <c r="E11" s="31">
        <f>IF(COUNT(C11:D11)&lt;2,"",D11-C11)</f>
      </c>
      <c r="F11" s="20">
        <f>IF(E11="","",IF(E11&lt;=14,"Yes","No - over two weeks"))</f>
      </c>
      <c r="G11" s="16"/>
      <c r="H11" s="16"/>
      <c r="I11" s="16"/>
      <c r="J11" s="17"/>
      <c r="K11" s="16"/>
      <c r="L11" s="17"/>
      <c r="M11" s="20">
        <f>IF(COUNTA(H11,I11,K11)=0,"",IF(AND(H11="Yes",I11="Yes",K11="Yes",'Assurance and gate'!W11="Passed"),"Yes","Not yet"))</f>
      </c>
      <c r="N11" s="20">
        <f>IF('Outcome contract'!D11="","",'Outcome contract'!D11)</f>
      </c>
      <c r="O11" s="16"/>
      <c r="P11" s="17"/>
      <c r="Q11" s="16"/>
      <c r="R11" s="17"/>
      <c r="S11" s="16"/>
      <c r="T11" s="16"/>
      <c r="U11" s="17"/>
      <c r="V11" s="16"/>
      <c r="W11" s="16"/>
      <c r="X11" s="16"/>
    </row>
    <row r="12" ht="30" customHeight="1" spans="1:24" x14ac:dyDescent="0.25">
      <c r="A12" s="20">
        <f>IF(Register!A12="","",Register!A12)</f>
      </c>
      <c r="B12" s="20">
        <f>IF(Register!C12="","",Register!C12)</f>
      </c>
      <c r="C12" s="17"/>
      <c r="D12" s="17"/>
      <c r="E12" s="31">
        <f>IF(COUNT(C12:D12)&lt;2,"",D12-C12)</f>
      </c>
      <c r="F12" s="20">
        <f>IF(E12="","",IF(E12&lt;=14,"Yes","No - over two weeks"))</f>
      </c>
      <c r="G12" s="16"/>
      <c r="H12" s="16"/>
      <c r="I12" s="16"/>
      <c r="J12" s="17"/>
      <c r="K12" s="16"/>
      <c r="L12" s="17"/>
      <c r="M12" s="20">
        <f>IF(COUNTA(H12,I12,K12)=0,"",IF(AND(H12="Yes",I12="Yes",K12="Yes",'Assurance and gate'!W12="Passed"),"Yes","Not yet"))</f>
      </c>
      <c r="N12" s="20">
        <f>IF('Outcome contract'!D12="","",'Outcome contract'!D12)</f>
      </c>
      <c r="O12" s="16"/>
      <c r="P12" s="17"/>
      <c r="Q12" s="16"/>
      <c r="R12" s="17"/>
      <c r="S12" s="16"/>
      <c r="T12" s="16"/>
      <c r="U12" s="17"/>
      <c r="V12" s="16"/>
      <c r="W12" s="16"/>
      <c r="X12" s="16"/>
    </row>
    <row r="13" ht="30" customHeight="1" spans="1:24" x14ac:dyDescent="0.25">
      <c r="A13" s="20">
        <f>IF(Register!A13="","",Register!A13)</f>
      </c>
      <c r="B13" s="20">
        <f>IF(Register!C13="","",Register!C13)</f>
      </c>
      <c r="C13" s="17"/>
      <c r="D13" s="17"/>
      <c r="E13" s="31">
        <f>IF(COUNT(C13:D13)&lt;2,"",D13-C13)</f>
      </c>
      <c r="F13" s="20">
        <f>IF(E13="","",IF(E13&lt;=14,"Yes","No - over two weeks"))</f>
      </c>
      <c r="G13" s="16"/>
      <c r="H13" s="16"/>
      <c r="I13" s="16"/>
      <c r="J13" s="17"/>
      <c r="K13" s="16"/>
      <c r="L13" s="17"/>
      <c r="M13" s="20">
        <f>IF(COUNTA(H13,I13,K13)=0,"",IF(AND(H13="Yes",I13="Yes",K13="Yes",'Assurance and gate'!W13="Passed"),"Yes","Not yet"))</f>
      </c>
      <c r="N13" s="20">
        <f>IF('Outcome contract'!D13="","",'Outcome contract'!D13)</f>
      </c>
      <c r="O13" s="16"/>
      <c r="P13" s="17"/>
      <c r="Q13" s="16"/>
      <c r="R13" s="17"/>
      <c r="S13" s="16"/>
      <c r="T13" s="16"/>
      <c r="U13" s="17"/>
      <c r="V13" s="16"/>
      <c r="W13" s="16"/>
      <c r="X13" s="16"/>
    </row>
    <row r="14" ht="30" customHeight="1" spans="1:24" x14ac:dyDescent="0.25">
      <c r="A14" s="20">
        <f>IF(Register!A14="","",Register!A14)</f>
      </c>
      <c r="B14" s="20">
        <f>IF(Register!C14="","",Register!C14)</f>
      </c>
      <c r="C14" s="17"/>
      <c r="D14" s="17"/>
      <c r="E14" s="31">
        <f>IF(COUNT(C14:D14)&lt;2,"",D14-C14)</f>
      </c>
      <c r="F14" s="20">
        <f>IF(E14="","",IF(E14&lt;=14,"Yes","No - over two weeks"))</f>
      </c>
      <c r="G14" s="16"/>
      <c r="H14" s="16"/>
      <c r="I14" s="16"/>
      <c r="J14" s="17"/>
      <c r="K14" s="16"/>
      <c r="L14" s="17"/>
      <c r="M14" s="20">
        <f>IF(COUNTA(H14,I14,K14)=0,"",IF(AND(H14="Yes",I14="Yes",K14="Yes",'Assurance and gate'!W14="Passed"),"Yes","Not yet"))</f>
      </c>
      <c r="N14" s="20">
        <f>IF('Outcome contract'!D14="","",'Outcome contract'!D14)</f>
      </c>
      <c r="O14" s="16"/>
      <c r="P14" s="17"/>
      <c r="Q14" s="16"/>
      <c r="R14" s="17"/>
      <c r="S14" s="16"/>
      <c r="T14" s="16"/>
      <c r="U14" s="17"/>
      <c r="V14" s="16"/>
      <c r="W14" s="16"/>
      <c r="X14" s="16"/>
    </row>
    <row r="15" ht="30" customHeight="1" spans="1:24" x14ac:dyDescent="0.25">
      <c r="A15" s="20">
        <f>IF(Register!A15="","",Register!A15)</f>
      </c>
      <c r="B15" s="20">
        <f>IF(Register!C15="","",Register!C15)</f>
      </c>
      <c r="C15" s="17"/>
      <c r="D15" s="17"/>
      <c r="E15" s="31">
        <f>IF(COUNT(C15:D15)&lt;2,"",D15-C15)</f>
      </c>
      <c r="F15" s="20">
        <f>IF(E15="","",IF(E15&lt;=14,"Yes","No - over two weeks"))</f>
      </c>
      <c r="G15" s="16"/>
      <c r="H15" s="16"/>
      <c r="I15" s="16"/>
      <c r="J15" s="17"/>
      <c r="K15" s="16"/>
      <c r="L15" s="17"/>
      <c r="M15" s="20">
        <f>IF(COUNTA(H15,I15,K15)=0,"",IF(AND(H15="Yes",I15="Yes",K15="Yes",'Assurance and gate'!W15="Passed"),"Yes","Not yet"))</f>
      </c>
      <c r="N15" s="20">
        <f>IF('Outcome contract'!D15="","",'Outcome contract'!D15)</f>
      </c>
      <c r="O15" s="16"/>
      <c r="P15" s="17"/>
      <c r="Q15" s="16"/>
      <c r="R15" s="17"/>
      <c r="S15" s="16"/>
      <c r="T15" s="16"/>
      <c r="U15" s="17"/>
      <c r="V15" s="16"/>
      <c r="W15" s="16"/>
      <c r="X15" s="16"/>
    </row>
    <row r="16" ht="30" customHeight="1" spans="1:24" x14ac:dyDescent="0.25">
      <c r="A16" s="20">
        <f>IF(Register!A16="","",Register!A16)</f>
      </c>
      <c r="B16" s="20">
        <f>IF(Register!C16="","",Register!C16)</f>
      </c>
      <c r="C16" s="17"/>
      <c r="D16" s="17"/>
      <c r="E16" s="31">
        <f>IF(COUNT(C16:D16)&lt;2,"",D16-C16)</f>
      </c>
      <c r="F16" s="20">
        <f>IF(E16="","",IF(E16&lt;=14,"Yes","No - over two weeks"))</f>
      </c>
      <c r="G16" s="16"/>
      <c r="H16" s="16"/>
      <c r="I16" s="16"/>
      <c r="J16" s="17"/>
      <c r="K16" s="16"/>
      <c r="L16" s="17"/>
      <c r="M16" s="20">
        <f>IF(COUNTA(H16,I16,K16)=0,"",IF(AND(H16="Yes",I16="Yes",K16="Yes",'Assurance and gate'!W16="Passed"),"Yes","Not yet"))</f>
      </c>
      <c r="N16" s="20">
        <f>IF('Outcome contract'!D16="","",'Outcome contract'!D16)</f>
      </c>
      <c r="O16" s="16"/>
      <c r="P16" s="17"/>
      <c r="Q16" s="16"/>
      <c r="R16" s="17"/>
      <c r="S16" s="16"/>
      <c r="T16" s="16"/>
      <c r="U16" s="17"/>
      <c r="V16" s="16"/>
      <c r="W16" s="16"/>
      <c r="X16" s="16"/>
    </row>
    <row r="17" ht="30" customHeight="1" spans="1:24" x14ac:dyDescent="0.25">
      <c r="A17" s="20">
        <f>IF(Register!A17="","",Register!A17)</f>
      </c>
      <c r="B17" s="20">
        <f>IF(Register!C17="","",Register!C17)</f>
      </c>
      <c r="C17" s="17"/>
      <c r="D17" s="17"/>
      <c r="E17" s="31">
        <f>IF(COUNT(C17:D17)&lt;2,"",D17-C17)</f>
      </c>
      <c r="F17" s="20">
        <f>IF(E17="","",IF(E17&lt;=14,"Yes","No - over two weeks"))</f>
      </c>
      <c r="G17" s="16"/>
      <c r="H17" s="16"/>
      <c r="I17" s="16"/>
      <c r="J17" s="17"/>
      <c r="K17" s="16"/>
      <c r="L17" s="17"/>
      <c r="M17" s="20">
        <f>IF(COUNTA(H17,I17,K17)=0,"",IF(AND(H17="Yes",I17="Yes",K17="Yes",'Assurance and gate'!W17="Passed"),"Yes","Not yet"))</f>
      </c>
      <c r="N17" s="20">
        <f>IF('Outcome contract'!D17="","",'Outcome contract'!D17)</f>
      </c>
      <c r="O17" s="16"/>
      <c r="P17" s="17"/>
      <c r="Q17" s="16"/>
      <c r="R17" s="17"/>
      <c r="S17" s="16"/>
      <c r="T17" s="16"/>
      <c r="U17" s="17"/>
      <c r="V17" s="16"/>
      <c r="W17" s="16"/>
      <c r="X17" s="16"/>
    </row>
    <row r="18" ht="30" customHeight="1" spans="1:24" x14ac:dyDescent="0.25">
      <c r="A18" s="20">
        <f>IF(Register!A18="","",Register!A18)</f>
      </c>
      <c r="B18" s="20">
        <f>IF(Register!C18="","",Register!C18)</f>
      </c>
      <c r="C18" s="17"/>
      <c r="D18" s="17"/>
      <c r="E18" s="31">
        <f>IF(COUNT(C18:D18)&lt;2,"",D18-C18)</f>
      </c>
      <c r="F18" s="20">
        <f>IF(E18="","",IF(E18&lt;=14,"Yes","No - over two weeks"))</f>
      </c>
      <c r="G18" s="16"/>
      <c r="H18" s="16"/>
      <c r="I18" s="16"/>
      <c r="J18" s="17"/>
      <c r="K18" s="16"/>
      <c r="L18" s="17"/>
      <c r="M18" s="20">
        <f>IF(COUNTA(H18,I18,K18)=0,"",IF(AND(H18="Yes",I18="Yes",K18="Yes",'Assurance and gate'!W18="Passed"),"Yes","Not yet"))</f>
      </c>
      <c r="N18" s="20">
        <f>IF('Outcome contract'!D18="","",'Outcome contract'!D18)</f>
      </c>
      <c r="O18" s="16"/>
      <c r="P18" s="17"/>
      <c r="Q18" s="16"/>
      <c r="R18" s="17"/>
      <c r="S18" s="16"/>
      <c r="T18" s="16"/>
      <c r="U18" s="17"/>
      <c r="V18" s="16"/>
      <c r="W18" s="16"/>
      <c r="X18" s="16"/>
    </row>
    <row r="19" ht="30" customHeight="1" spans="1:24" x14ac:dyDescent="0.25">
      <c r="A19" s="20">
        <f>IF(Register!A19="","",Register!A19)</f>
      </c>
      <c r="B19" s="20">
        <f>IF(Register!C19="","",Register!C19)</f>
      </c>
      <c r="C19" s="17"/>
      <c r="D19" s="17"/>
      <c r="E19" s="31">
        <f>IF(COUNT(C19:D19)&lt;2,"",D19-C19)</f>
      </c>
      <c r="F19" s="20">
        <f>IF(E19="","",IF(E19&lt;=14,"Yes","No - over two weeks"))</f>
      </c>
      <c r="G19" s="16"/>
      <c r="H19" s="16"/>
      <c r="I19" s="16"/>
      <c r="J19" s="17"/>
      <c r="K19" s="16"/>
      <c r="L19" s="17"/>
      <c r="M19" s="20">
        <f>IF(COUNTA(H19,I19,K19)=0,"",IF(AND(H19="Yes",I19="Yes",K19="Yes",'Assurance and gate'!W19="Passed"),"Yes","Not yet"))</f>
      </c>
      <c r="N19" s="20">
        <f>IF('Outcome contract'!D19="","",'Outcome contract'!D19)</f>
      </c>
      <c r="O19" s="16"/>
      <c r="P19" s="17"/>
      <c r="Q19" s="16"/>
      <c r="R19" s="17"/>
      <c r="S19" s="16"/>
      <c r="T19" s="16"/>
      <c r="U19" s="17"/>
      <c r="V19" s="16"/>
      <c r="W19" s="16"/>
      <c r="X19" s="16"/>
    </row>
    <row r="20" ht="30" customHeight="1" spans="1:24" x14ac:dyDescent="0.25">
      <c r="A20" s="20">
        <f>IF(Register!A20="","",Register!A20)</f>
      </c>
      <c r="B20" s="20">
        <f>IF(Register!C20="","",Register!C20)</f>
      </c>
      <c r="C20" s="17"/>
      <c r="D20" s="17"/>
      <c r="E20" s="31">
        <f>IF(COUNT(C20:D20)&lt;2,"",D20-C20)</f>
      </c>
      <c r="F20" s="20">
        <f>IF(E20="","",IF(E20&lt;=14,"Yes","No - over two weeks"))</f>
      </c>
      <c r="G20" s="16"/>
      <c r="H20" s="16"/>
      <c r="I20" s="16"/>
      <c r="J20" s="17"/>
      <c r="K20" s="16"/>
      <c r="L20" s="17"/>
      <c r="M20" s="20">
        <f>IF(COUNTA(H20,I20,K20)=0,"",IF(AND(H20="Yes",I20="Yes",K20="Yes",'Assurance and gate'!W20="Passed"),"Yes","Not yet"))</f>
      </c>
      <c r="N20" s="20">
        <f>IF('Outcome contract'!D20="","",'Outcome contract'!D20)</f>
      </c>
      <c r="O20" s="16"/>
      <c r="P20" s="17"/>
      <c r="Q20" s="16"/>
      <c r="R20" s="17"/>
      <c r="S20" s="16"/>
      <c r="T20" s="16"/>
      <c r="U20" s="17"/>
      <c r="V20" s="16"/>
      <c r="W20" s="16"/>
      <c r="X20" s="16"/>
    </row>
    <row r="21" ht="30" customHeight="1" spans="1:24" x14ac:dyDescent="0.25">
      <c r="A21" s="20">
        <f>IF(Register!A21="","",Register!A21)</f>
      </c>
      <c r="B21" s="20">
        <f>IF(Register!C21="","",Register!C21)</f>
      </c>
      <c r="C21" s="17"/>
      <c r="D21" s="17"/>
      <c r="E21" s="31">
        <f>IF(COUNT(C21:D21)&lt;2,"",D21-C21)</f>
      </c>
      <c r="F21" s="20">
        <f>IF(E21="","",IF(E21&lt;=14,"Yes","No - over two weeks"))</f>
      </c>
      <c r="G21" s="16"/>
      <c r="H21" s="16"/>
      <c r="I21" s="16"/>
      <c r="J21" s="17"/>
      <c r="K21" s="16"/>
      <c r="L21" s="17"/>
      <c r="M21" s="20">
        <f>IF(COUNTA(H21,I21,K21)=0,"",IF(AND(H21="Yes",I21="Yes",K21="Yes",'Assurance and gate'!W21="Passed"),"Yes","Not yet"))</f>
      </c>
      <c r="N21" s="20">
        <f>IF('Outcome contract'!D21="","",'Outcome contract'!D21)</f>
      </c>
      <c r="O21" s="16"/>
      <c r="P21" s="17"/>
      <c r="Q21" s="16"/>
      <c r="R21" s="17"/>
      <c r="S21" s="16"/>
      <c r="T21" s="16"/>
      <c r="U21" s="17"/>
      <c r="V21" s="16"/>
      <c r="W21" s="16"/>
      <c r="X21" s="16"/>
    </row>
    <row r="22" ht="30" customHeight="1" spans="1:24" x14ac:dyDescent="0.25">
      <c r="A22" s="20">
        <f>IF(Register!A22="","",Register!A22)</f>
      </c>
      <c r="B22" s="20">
        <f>IF(Register!C22="","",Register!C22)</f>
      </c>
      <c r="C22" s="17"/>
      <c r="D22" s="17"/>
      <c r="E22" s="31">
        <f>IF(COUNT(C22:D22)&lt;2,"",D22-C22)</f>
      </c>
      <c r="F22" s="20">
        <f>IF(E22="","",IF(E22&lt;=14,"Yes","No - over two weeks"))</f>
      </c>
      <c r="G22" s="16"/>
      <c r="H22" s="16"/>
      <c r="I22" s="16"/>
      <c r="J22" s="17"/>
      <c r="K22" s="16"/>
      <c r="L22" s="17"/>
      <c r="M22" s="20">
        <f>IF(COUNTA(H22,I22,K22)=0,"",IF(AND(H22="Yes",I22="Yes",K22="Yes",'Assurance and gate'!W22="Passed"),"Yes","Not yet"))</f>
      </c>
      <c r="N22" s="20">
        <f>IF('Outcome contract'!D22="","",'Outcome contract'!D22)</f>
      </c>
      <c r="O22" s="16"/>
      <c r="P22" s="17"/>
      <c r="Q22" s="16"/>
      <c r="R22" s="17"/>
      <c r="S22" s="16"/>
      <c r="T22" s="16"/>
      <c r="U22" s="17"/>
      <c r="V22" s="16"/>
      <c r="W22" s="16"/>
      <c r="X22" s="16"/>
    </row>
    <row r="23" ht="30" customHeight="1" spans="1:24" x14ac:dyDescent="0.25">
      <c r="A23" s="20">
        <f>IF(Register!A23="","",Register!A23)</f>
      </c>
      <c r="B23" s="20">
        <f>IF(Register!C23="","",Register!C23)</f>
      </c>
      <c r="C23" s="17"/>
      <c r="D23" s="17"/>
      <c r="E23" s="31">
        <f>IF(COUNT(C23:D23)&lt;2,"",D23-C23)</f>
      </c>
      <c r="F23" s="20">
        <f>IF(E23="","",IF(E23&lt;=14,"Yes","No - over two weeks"))</f>
      </c>
      <c r="G23" s="16"/>
      <c r="H23" s="16"/>
      <c r="I23" s="16"/>
      <c r="J23" s="17"/>
      <c r="K23" s="16"/>
      <c r="L23" s="17"/>
      <c r="M23" s="20">
        <f>IF(COUNTA(H23,I23,K23)=0,"",IF(AND(H23="Yes",I23="Yes",K23="Yes",'Assurance and gate'!W23="Passed"),"Yes","Not yet"))</f>
      </c>
      <c r="N23" s="20">
        <f>IF('Outcome contract'!D23="","",'Outcome contract'!D23)</f>
      </c>
      <c r="O23" s="16"/>
      <c r="P23" s="17"/>
      <c r="Q23" s="16"/>
      <c r="R23" s="17"/>
      <c r="S23" s="16"/>
      <c r="T23" s="16"/>
      <c r="U23" s="17"/>
      <c r="V23" s="16"/>
      <c r="W23" s="16"/>
      <c r="X23" s="16"/>
    </row>
    <row r="24" ht="30" customHeight="1" spans="1:24" x14ac:dyDescent="0.25">
      <c r="A24" s="20">
        <f>IF(Register!A24="","",Register!A24)</f>
      </c>
      <c r="B24" s="20">
        <f>IF(Register!C24="","",Register!C24)</f>
      </c>
      <c r="C24" s="17"/>
      <c r="D24" s="17"/>
      <c r="E24" s="31">
        <f>IF(COUNT(C24:D24)&lt;2,"",D24-C24)</f>
      </c>
      <c r="F24" s="20">
        <f>IF(E24="","",IF(E24&lt;=14,"Yes","No - over two weeks"))</f>
      </c>
      <c r="G24" s="16"/>
      <c r="H24" s="16"/>
      <c r="I24" s="16"/>
      <c r="J24" s="17"/>
      <c r="K24" s="16"/>
      <c r="L24" s="17"/>
      <c r="M24" s="20">
        <f>IF(COUNTA(H24,I24,K24)=0,"",IF(AND(H24="Yes",I24="Yes",K24="Yes",'Assurance and gate'!W24="Passed"),"Yes","Not yet"))</f>
      </c>
      <c r="N24" s="20">
        <f>IF('Outcome contract'!D24="","",'Outcome contract'!D24)</f>
      </c>
      <c r="O24" s="16"/>
      <c r="P24" s="17"/>
      <c r="Q24" s="16"/>
      <c r="R24" s="17"/>
      <c r="S24" s="16"/>
      <c r="T24" s="16"/>
      <c r="U24" s="17"/>
      <c r="V24" s="16"/>
      <c r="W24" s="16"/>
      <c r="X24" s="16"/>
    </row>
    <row r="25" ht="30" customHeight="1" spans="1:24" x14ac:dyDescent="0.25">
      <c r="A25" s="20">
        <f>IF(Register!A25="","",Register!A25)</f>
      </c>
      <c r="B25" s="20">
        <f>IF(Register!C25="","",Register!C25)</f>
      </c>
      <c r="C25" s="17"/>
      <c r="D25" s="17"/>
      <c r="E25" s="31">
        <f>IF(COUNT(C25:D25)&lt;2,"",D25-C25)</f>
      </c>
      <c r="F25" s="20">
        <f>IF(E25="","",IF(E25&lt;=14,"Yes","No - over two weeks"))</f>
      </c>
      <c r="G25" s="16"/>
      <c r="H25" s="16"/>
      <c r="I25" s="16"/>
      <c r="J25" s="17"/>
      <c r="K25" s="16"/>
      <c r="L25" s="17"/>
      <c r="M25" s="20">
        <f>IF(COUNTA(H25,I25,K25)=0,"",IF(AND(H25="Yes",I25="Yes",K25="Yes",'Assurance and gate'!W25="Passed"),"Yes","Not yet"))</f>
      </c>
      <c r="N25" s="20">
        <f>IF('Outcome contract'!D25="","",'Outcome contract'!D25)</f>
      </c>
      <c r="O25" s="16"/>
      <c r="P25" s="17"/>
      <c r="Q25" s="16"/>
      <c r="R25" s="17"/>
      <c r="S25" s="16"/>
      <c r="T25" s="16"/>
      <c r="U25" s="17"/>
      <c r="V25" s="16"/>
      <c r="W25" s="16"/>
      <c r="X25" s="16"/>
    </row>
    <row r="26" ht="30" customHeight="1" spans="1:24" x14ac:dyDescent="0.25">
      <c r="A26" s="20">
        <f>IF(Register!A26="","",Register!A26)</f>
      </c>
      <c r="B26" s="20">
        <f>IF(Register!C26="","",Register!C26)</f>
      </c>
      <c r="C26" s="17"/>
      <c r="D26" s="17"/>
      <c r="E26" s="31">
        <f>IF(COUNT(C26:D26)&lt;2,"",D26-C26)</f>
      </c>
      <c r="F26" s="20">
        <f>IF(E26="","",IF(E26&lt;=14,"Yes","No - over two weeks"))</f>
      </c>
      <c r="G26" s="16"/>
      <c r="H26" s="16"/>
      <c r="I26" s="16"/>
      <c r="J26" s="17"/>
      <c r="K26" s="16"/>
      <c r="L26" s="17"/>
      <c r="M26" s="20">
        <f>IF(COUNTA(H26,I26,K26)=0,"",IF(AND(H26="Yes",I26="Yes",K26="Yes",'Assurance and gate'!W26="Passed"),"Yes","Not yet"))</f>
      </c>
      <c r="N26" s="20">
        <f>IF('Outcome contract'!D26="","",'Outcome contract'!D26)</f>
      </c>
      <c r="O26" s="16"/>
      <c r="P26" s="17"/>
      <c r="Q26" s="16"/>
      <c r="R26" s="17"/>
      <c r="S26" s="16"/>
      <c r="T26" s="16"/>
      <c r="U26" s="17"/>
      <c r="V26" s="16"/>
      <c r="W26" s="16"/>
      <c r="X26" s="16"/>
    </row>
    <row r="27" ht="30" customHeight="1" spans="1:24" x14ac:dyDescent="0.25">
      <c r="A27" s="20">
        <f>IF(Register!A27="","",Register!A27)</f>
      </c>
      <c r="B27" s="20">
        <f>IF(Register!C27="","",Register!C27)</f>
      </c>
      <c r="C27" s="17"/>
      <c r="D27" s="17"/>
      <c r="E27" s="31">
        <f>IF(COUNT(C27:D27)&lt;2,"",D27-C27)</f>
      </c>
      <c r="F27" s="20">
        <f>IF(E27="","",IF(E27&lt;=14,"Yes","No - over two weeks"))</f>
      </c>
      <c r="G27" s="16"/>
      <c r="H27" s="16"/>
      <c r="I27" s="16"/>
      <c r="J27" s="17"/>
      <c r="K27" s="16"/>
      <c r="L27" s="17"/>
      <c r="M27" s="20">
        <f>IF(COUNTA(H27,I27,K27)=0,"",IF(AND(H27="Yes",I27="Yes",K27="Yes",'Assurance and gate'!W27="Passed"),"Yes","Not yet"))</f>
      </c>
      <c r="N27" s="20">
        <f>IF('Outcome contract'!D27="","",'Outcome contract'!D27)</f>
      </c>
      <c r="O27" s="16"/>
      <c r="P27" s="17"/>
      <c r="Q27" s="16"/>
      <c r="R27" s="17"/>
      <c r="S27" s="16"/>
      <c r="T27" s="16"/>
      <c r="U27" s="17"/>
      <c r="V27" s="16"/>
      <c r="W27" s="16"/>
      <c r="X27" s="16"/>
    </row>
    <row r="28" ht="30" customHeight="1" spans="1:24" x14ac:dyDescent="0.25">
      <c r="A28" s="20">
        <f>IF(Register!A28="","",Register!A28)</f>
      </c>
      <c r="B28" s="20">
        <f>IF(Register!C28="","",Register!C28)</f>
      </c>
      <c r="C28" s="17"/>
      <c r="D28" s="17"/>
      <c r="E28" s="31">
        <f>IF(COUNT(C28:D28)&lt;2,"",D28-C28)</f>
      </c>
      <c r="F28" s="20">
        <f>IF(E28="","",IF(E28&lt;=14,"Yes","No - over two weeks"))</f>
      </c>
      <c r="G28" s="16"/>
      <c r="H28" s="16"/>
      <c r="I28" s="16"/>
      <c r="J28" s="17"/>
      <c r="K28" s="16"/>
      <c r="L28" s="17"/>
      <c r="M28" s="20">
        <f>IF(COUNTA(H28,I28,K28)=0,"",IF(AND(H28="Yes",I28="Yes",K28="Yes",'Assurance and gate'!W28="Passed"),"Yes","Not yet"))</f>
      </c>
      <c r="N28" s="20">
        <f>IF('Outcome contract'!D28="","",'Outcome contract'!D28)</f>
      </c>
      <c r="O28" s="16"/>
      <c r="P28" s="17"/>
      <c r="Q28" s="16"/>
      <c r="R28" s="17"/>
      <c r="S28" s="16"/>
      <c r="T28" s="16"/>
      <c r="U28" s="17"/>
      <c r="V28" s="16"/>
      <c r="W28" s="16"/>
      <c r="X28" s="16"/>
    </row>
    <row r="29" ht="30" customHeight="1" spans="1:24" x14ac:dyDescent="0.25">
      <c r="A29" s="20">
        <f>IF(Register!A29="","",Register!A29)</f>
      </c>
      <c r="B29" s="20">
        <f>IF(Register!C29="","",Register!C29)</f>
      </c>
      <c r="C29" s="17"/>
      <c r="D29" s="17"/>
      <c r="E29" s="31">
        <f>IF(COUNT(C29:D29)&lt;2,"",D29-C29)</f>
      </c>
      <c r="F29" s="20">
        <f>IF(E29="","",IF(E29&lt;=14,"Yes","No - over two weeks"))</f>
      </c>
      <c r="G29" s="16"/>
      <c r="H29" s="16"/>
      <c r="I29" s="16"/>
      <c r="J29" s="17"/>
      <c r="K29" s="16"/>
      <c r="L29" s="17"/>
      <c r="M29" s="20">
        <f>IF(COUNTA(H29,I29,K29)=0,"",IF(AND(H29="Yes",I29="Yes",K29="Yes",'Assurance and gate'!W29="Passed"),"Yes","Not yet"))</f>
      </c>
      <c r="N29" s="20">
        <f>IF('Outcome contract'!D29="","",'Outcome contract'!D29)</f>
      </c>
      <c r="O29" s="16"/>
      <c r="P29" s="17"/>
      <c r="Q29" s="16"/>
      <c r="R29" s="17"/>
      <c r="S29" s="16"/>
      <c r="T29" s="16"/>
      <c r="U29" s="17"/>
      <c r="V29" s="16"/>
      <c r="W29" s="16"/>
      <c r="X29" s="16"/>
    </row>
    <row r="30" ht="30" customHeight="1" spans="1:24" x14ac:dyDescent="0.25">
      <c r="A30" s="20">
        <f>IF(Register!A30="","",Register!A30)</f>
      </c>
      <c r="B30" s="20">
        <f>IF(Register!C30="","",Register!C30)</f>
      </c>
      <c r="C30" s="17"/>
      <c r="D30" s="17"/>
      <c r="E30" s="31">
        <f>IF(COUNT(C30:D30)&lt;2,"",D30-C30)</f>
      </c>
      <c r="F30" s="20">
        <f>IF(E30="","",IF(E30&lt;=14,"Yes","No - over two weeks"))</f>
      </c>
      <c r="G30" s="16"/>
      <c r="H30" s="16"/>
      <c r="I30" s="16"/>
      <c r="J30" s="17"/>
      <c r="K30" s="16"/>
      <c r="L30" s="17"/>
      <c r="M30" s="20">
        <f>IF(COUNTA(H30,I30,K30)=0,"",IF(AND(H30="Yes",I30="Yes",K30="Yes",'Assurance and gate'!W30="Passed"),"Yes","Not yet"))</f>
      </c>
      <c r="N30" s="20">
        <f>IF('Outcome contract'!D30="","",'Outcome contract'!D30)</f>
      </c>
      <c r="O30" s="16"/>
      <c r="P30" s="17"/>
      <c r="Q30" s="16"/>
      <c r="R30" s="17"/>
      <c r="S30" s="16"/>
      <c r="T30" s="16"/>
      <c r="U30" s="17"/>
      <c r="V30" s="16"/>
      <c r="W30" s="16"/>
      <c r="X30" s="16"/>
    </row>
    <row r="31" ht="30" customHeight="1" spans="1:24" x14ac:dyDescent="0.25">
      <c r="A31" s="20">
        <f>IF(Register!A31="","",Register!A31)</f>
      </c>
      <c r="B31" s="20">
        <f>IF(Register!C31="","",Register!C31)</f>
      </c>
      <c r="C31" s="17"/>
      <c r="D31" s="17"/>
      <c r="E31" s="31">
        <f>IF(COUNT(C31:D31)&lt;2,"",D31-C31)</f>
      </c>
      <c r="F31" s="20">
        <f>IF(E31="","",IF(E31&lt;=14,"Yes","No - over two weeks"))</f>
      </c>
      <c r="G31" s="16"/>
      <c r="H31" s="16"/>
      <c r="I31" s="16"/>
      <c r="J31" s="17"/>
      <c r="K31" s="16"/>
      <c r="L31" s="17"/>
      <c r="M31" s="20">
        <f>IF(COUNTA(H31,I31,K31)=0,"",IF(AND(H31="Yes",I31="Yes",K31="Yes",'Assurance and gate'!W31="Passed"),"Yes","Not yet"))</f>
      </c>
      <c r="N31" s="20">
        <f>IF('Outcome contract'!D31="","",'Outcome contract'!D31)</f>
      </c>
      <c r="O31" s="16"/>
      <c r="P31" s="17"/>
      <c r="Q31" s="16"/>
      <c r="R31" s="17"/>
      <c r="S31" s="16"/>
      <c r="T31" s="16"/>
      <c r="U31" s="17"/>
      <c r="V31" s="16"/>
      <c r="W31" s="16"/>
      <c r="X31" s="16"/>
    </row>
    <row r="32" ht="30" customHeight="1" spans="1:24" x14ac:dyDescent="0.25">
      <c r="A32" s="20">
        <f>IF(Register!A32="","",Register!A32)</f>
      </c>
      <c r="B32" s="20">
        <f>IF(Register!C32="","",Register!C32)</f>
      </c>
      <c r="C32" s="17"/>
      <c r="D32" s="17"/>
      <c r="E32" s="31">
        <f>IF(COUNT(C32:D32)&lt;2,"",D32-C32)</f>
      </c>
      <c r="F32" s="20">
        <f>IF(E32="","",IF(E32&lt;=14,"Yes","No - over two weeks"))</f>
      </c>
      <c r="G32" s="16"/>
      <c r="H32" s="16"/>
      <c r="I32" s="16"/>
      <c r="J32" s="17"/>
      <c r="K32" s="16"/>
      <c r="L32" s="17"/>
      <c r="M32" s="20">
        <f>IF(COUNTA(H32,I32,K32)=0,"",IF(AND(H32="Yes",I32="Yes",K32="Yes",'Assurance and gate'!W32="Passed"),"Yes","Not yet"))</f>
      </c>
      <c r="N32" s="20">
        <f>IF('Outcome contract'!D32="","",'Outcome contract'!D32)</f>
      </c>
      <c r="O32" s="16"/>
      <c r="P32" s="17"/>
      <c r="Q32" s="16"/>
      <c r="R32" s="17"/>
      <c r="S32" s="16"/>
      <c r="T32" s="16"/>
      <c r="U32" s="17"/>
      <c r="V32" s="16"/>
      <c r="W32" s="16"/>
      <c r="X32" s="16"/>
    </row>
    <row r="33" ht="30" customHeight="1" spans="1:24" x14ac:dyDescent="0.25">
      <c r="A33" s="20">
        <f>IF(Register!A33="","",Register!A33)</f>
      </c>
      <c r="B33" s="20">
        <f>IF(Register!C33="","",Register!C33)</f>
      </c>
      <c r="C33" s="17"/>
      <c r="D33" s="17"/>
      <c r="E33" s="31">
        <f>IF(COUNT(C33:D33)&lt;2,"",D33-C33)</f>
      </c>
      <c r="F33" s="20">
        <f>IF(E33="","",IF(E33&lt;=14,"Yes","No - over two weeks"))</f>
      </c>
      <c r="G33" s="16"/>
      <c r="H33" s="16"/>
      <c r="I33" s="16"/>
      <c r="J33" s="17"/>
      <c r="K33" s="16"/>
      <c r="L33" s="17"/>
      <c r="M33" s="20">
        <f>IF(COUNTA(H33,I33,K33)=0,"",IF(AND(H33="Yes",I33="Yes",K33="Yes",'Assurance and gate'!W33="Passed"),"Yes","Not yet"))</f>
      </c>
      <c r="N33" s="20">
        <f>IF('Outcome contract'!D33="","",'Outcome contract'!D33)</f>
      </c>
      <c r="O33" s="16"/>
      <c r="P33" s="17"/>
      <c r="Q33" s="16"/>
      <c r="R33" s="17"/>
      <c r="S33" s="16"/>
      <c r="T33" s="16"/>
      <c r="U33" s="17"/>
      <c r="V33" s="16"/>
      <c r="W33" s="16"/>
      <c r="X33" s="16"/>
    </row>
    <row r="34" ht="30" customHeight="1" spans="1:24" x14ac:dyDescent="0.25">
      <c r="A34" s="20">
        <f>IF(Register!A34="","",Register!A34)</f>
      </c>
      <c r="B34" s="20">
        <f>IF(Register!C34="","",Register!C34)</f>
      </c>
      <c r="C34" s="17"/>
      <c r="D34" s="17"/>
      <c r="E34" s="31">
        <f>IF(COUNT(C34:D34)&lt;2,"",D34-C34)</f>
      </c>
      <c r="F34" s="20">
        <f>IF(E34="","",IF(E34&lt;=14,"Yes","No - over two weeks"))</f>
      </c>
      <c r="G34" s="16"/>
      <c r="H34" s="16"/>
      <c r="I34" s="16"/>
      <c r="J34" s="17"/>
      <c r="K34" s="16"/>
      <c r="L34" s="17"/>
      <c r="M34" s="20">
        <f>IF(COUNTA(H34,I34,K34)=0,"",IF(AND(H34="Yes",I34="Yes",K34="Yes",'Assurance and gate'!W34="Passed"),"Yes","Not yet"))</f>
      </c>
      <c r="N34" s="20">
        <f>IF('Outcome contract'!D34="","",'Outcome contract'!D34)</f>
      </c>
      <c r="O34" s="16"/>
      <c r="P34" s="17"/>
      <c r="Q34" s="16"/>
      <c r="R34" s="17"/>
      <c r="S34" s="16"/>
      <c r="T34" s="16"/>
      <c r="U34" s="17"/>
      <c r="V34" s="16"/>
      <c r="W34" s="16"/>
      <c r="X34" s="16"/>
    </row>
    <row r="35" ht="30" customHeight="1" spans="1:24" x14ac:dyDescent="0.25">
      <c r="A35" s="20">
        <f>IF(Register!A35="","",Register!A35)</f>
      </c>
      <c r="B35" s="20">
        <f>IF(Register!C35="","",Register!C35)</f>
      </c>
      <c r="C35" s="17"/>
      <c r="D35" s="17"/>
      <c r="E35" s="31">
        <f>IF(COUNT(C35:D35)&lt;2,"",D35-C35)</f>
      </c>
      <c r="F35" s="20">
        <f>IF(E35="","",IF(E35&lt;=14,"Yes","No - over two weeks"))</f>
      </c>
      <c r="G35" s="16"/>
      <c r="H35" s="16"/>
      <c r="I35" s="16"/>
      <c r="J35" s="17"/>
      <c r="K35" s="16"/>
      <c r="L35" s="17"/>
      <c r="M35" s="20">
        <f>IF(COUNTA(H35,I35,K35)=0,"",IF(AND(H35="Yes",I35="Yes",K35="Yes",'Assurance and gate'!W35="Passed"),"Yes","Not yet"))</f>
      </c>
      <c r="N35" s="20">
        <f>IF('Outcome contract'!D35="","",'Outcome contract'!D35)</f>
      </c>
      <c r="O35" s="16"/>
      <c r="P35" s="17"/>
      <c r="Q35" s="16"/>
      <c r="R35" s="17"/>
      <c r="S35" s="16"/>
      <c r="T35" s="16"/>
      <c r="U35" s="17"/>
      <c r="V35" s="16"/>
      <c r="W35" s="16"/>
      <c r="X35" s="16"/>
    </row>
    <row r="36" ht="30" customHeight="1" spans="1:24" x14ac:dyDescent="0.25">
      <c r="A36" s="20">
        <f>IF(Register!A36="","",Register!A36)</f>
      </c>
      <c r="B36" s="20">
        <f>IF(Register!C36="","",Register!C36)</f>
      </c>
      <c r="C36" s="17"/>
      <c r="D36" s="17"/>
      <c r="E36" s="31">
        <f>IF(COUNT(C36:D36)&lt;2,"",D36-C36)</f>
      </c>
      <c r="F36" s="20">
        <f>IF(E36="","",IF(E36&lt;=14,"Yes","No - over two weeks"))</f>
      </c>
      <c r="G36" s="16"/>
      <c r="H36" s="16"/>
      <c r="I36" s="16"/>
      <c r="J36" s="17"/>
      <c r="K36" s="16"/>
      <c r="L36" s="17"/>
      <c r="M36" s="20">
        <f>IF(COUNTA(H36,I36,K36)=0,"",IF(AND(H36="Yes",I36="Yes",K36="Yes",'Assurance and gate'!W36="Passed"),"Yes","Not yet"))</f>
      </c>
      <c r="N36" s="20">
        <f>IF('Outcome contract'!D36="","",'Outcome contract'!D36)</f>
      </c>
      <c r="O36" s="16"/>
      <c r="P36" s="17"/>
      <c r="Q36" s="16"/>
      <c r="R36" s="17"/>
      <c r="S36" s="16"/>
      <c r="T36" s="16"/>
      <c r="U36" s="17"/>
      <c r="V36" s="16"/>
      <c r="W36" s="16"/>
      <c r="X36" s="16"/>
    </row>
    <row r="37" ht="30" customHeight="1" spans="1:24" x14ac:dyDescent="0.25">
      <c r="A37" s="20">
        <f>IF(Register!A37="","",Register!A37)</f>
      </c>
      <c r="B37" s="20">
        <f>IF(Register!C37="","",Register!C37)</f>
      </c>
      <c r="C37" s="17"/>
      <c r="D37" s="17"/>
      <c r="E37" s="31">
        <f>IF(COUNT(C37:D37)&lt;2,"",D37-C37)</f>
      </c>
      <c r="F37" s="20">
        <f>IF(E37="","",IF(E37&lt;=14,"Yes","No - over two weeks"))</f>
      </c>
      <c r="G37" s="16"/>
      <c r="H37" s="16"/>
      <c r="I37" s="16"/>
      <c r="J37" s="17"/>
      <c r="K37" s="16"/>
      <c r="L37" s="17"/>
      <c r="M37" s="20">
        <f>IF(COUNTA(H37,I37,K37)=0,"",IF(AND(H37="Yes",I37="Yes",K37="Yes",'Assurance and gate'!W37="Passed"),"Yes","Not yet"))</f>
      </c>
      <c r="N37" s="20">
        <f>IF('Outcome contract'!D37="","",'Outcome contract'!D37)</f>
      </c>
      <c r="O37" s="16"/>
      <c r="P37" s="17"/>
      <c r="Q37" s="16"/>
      <c r="R37" s="17"/>
      <c r="S37" s="16"/>
      <c r="T37" s="16"/>
      <c r="U37" s="17"/>
      <c r="V37" s="16"/>
      <c r="W37" s="16"/>
      <c r="X37" s="16"/>
    </row>
    <row r="38" ht="30" customHeight="1" spans="1:24" x14ac:dyDescent="0.25">
      <c r="A38" s="20">
        <f>IF(Register!A38="","",Register!A38)</f>
      </c>
      <c r="B38" s="20">
        <f>IF(Register!C38="","",Register!C38)</f>
      </c>
      <c r="C38" s="17"/>
      <c r="D38" s="17"/>
      <c r="E38" s="31">
        <f>IF(COUNT(C38:D38)&lt;2,"",D38-C38)</f>
      </c>
      <c r="F38" s="20">
        <f>IF(E38="","",IF(E38&lt;=14,"Yes","No - over two weeks"))</f>
      </c>
      <c r="G38" s="16"/>
      <c r="H38" s="16"/>
      <c r="I38" s="16"/>
      <c r="J38" s="17"/>
      <c r="K38" s="16"/>
      <c r="L38" s="17"/>
      <c r="M38" s="20">
        <f>IF(COUNTA(H38,I38,K38)=0,"",IF(AND(H38="Yes",I38="Yes",K38="Yes",'Assurance and gate'!W38="Passed"),"Yes","Not yet"))</f>
      </c>
      <c r="N38" s="20">
        <f>IF('Outcome contract'!D38="","",'Outcome contract'!D38)</f>
      </c>
      <c r="O38" s="16"/>
      <c r="P38" s="17"/>
      <c r="Q38" s="16"/>
      <c r="R38" s="17"/>
      <c r="S38" s="16"/>
      <c r="T38" s="16"/>
      <c r="U38" s="17"/>
      <c r="V38" s="16"/>
      <c r="W38" s="16"/>
      <c r="X38" s="16"/>
    </row>
    <row r="39" ht="30" customHeight="1" spans="1:24" x14ac:dyDescent="0.25">
      <c r="A39" s="20">
        <f>IF(Register!A39="","",Register!A39)</f>
      </c>
      <c r="B39" s="20">
        <f>IF(Register!C39="","",Register!C39)</f>
      </c>
      <c r="C39" s="17"/>
      <c r="D39" s="17"/>
      <c r="E39" s="31">
        <f>IF(COUNT(C39:D39)&lt;2,"",D39-C39)</f>
      </c>
      <c r="F39" s="20">
        <f>IF(E39="","",IF(E39&lt;=14,"Yes","No - over two weeks"))</f>
      </c>
      <c r="G39" s="16"/>
      <c r="H39" s="16"/>
      <c r="I39" s="16"/>
      <c r="J39" s="17"/>
      <c r="K39" s="16"/>
      <c r="L39" s="17"/>
      <c r="M39" s="20">
        <f>IF(COUNTA(H39,I39,K39)=0,"",IF(AND(H39="Yes",I39="Yes",K39="Yes",'Assurance and gate'!W39="Passed"),"Yes","Not yet"))</f>
      </c>
      <c r="N39" s="20">
        <f>IF('Outcome contract'!D39="","",'Outcome contract'!D39)</f>
      </c>
      <c r="O39" s="16"/>
      <c r="P39" s="17"/>
      <c r="Q39" s="16"/>
      <c r="R39" s="17"/>
      <c r="S39" s="16"/>
      <c r="T39" s="16"/>
      <c r="U39" s="17"/>
      <c r="V39" s="16"/>
      <c r="W39" s="16"/>
      <c r="X39" s="16"/>
    </row>
    <row r="40" ht="30" customHeight="1" spans="1:24" x14ac:dyDescent="0.25">
      <c r="A40" s="20">
        <f>IF(Register!A40="","",Register!A40)</f>
      </c>
      <c r="B40" s="20">
        <f>IF(Register!C40="","",Register!C40)</f>
      </c>
      <c r="C40" s="17"/>
      <c r="D40" s="17"/>
      <c r="E40" s="31">
        <f>IF(COUNT(C40:D40)&lt;2,"",D40-C40)</f>
      </c>
      <c r="F40" s="20">
        <f>IF(E40="","",IF(E40&lt;=14,"Yes","No - over two weeks"))</f>
      </c>
      <c r="G40" s="16"/>
      <c r="H40" s="16"/>
      <c r="I40" s="16"/>
      <c r="J40" s="17"/>
      <c r="K40" s="16"/>
      <c r="L40" s="17"/>
      <c r="M40" s="20">
        <f>IF(COUNTA(H40,I40,K40)=0,"",IF(AND(H40="Yes",I40="Yes",K40="Yes",'Assurance and gate'!W40="Passed"),"Yes","Not yet"))</f>
      </c>
      <c r="N40" s="20">
        <f>IF('Outcome contract'!D40="","",'Outcome contract'!D40)</f>
      </c>
      <c r="O40" s="16"/>
      <c r="P40" s="17"/>
      <c r="Q40" s="16"/>
      <c r="R40" s="17"/>
      <c r="S40" s="16"/>
      <c r="T40" s="16"/>
      <c r="U40" s="17"/>
      <c r="V40" s="16"/>
      <c r="W40" s="16"/>
      <c r="X40" s="16"/>
    </row>
    <row r="41" ht="30" customHeight="1" spans="1:24" x14ac:dyDescent="0.25">
      <c r="A41" s="20">
        <f>IF(Register!A41="","",Register!A41)</f>
      </c>
      <c r="B41" s="20">
        <f>IF(Register!C41="","",Register!C41)</f>
      </c>
      <c r="C41" s="17"/>
      <c r="D41" s="17"/>
      <c r="E41" s="31">
        <f>IF(COUNT(C41:D41)&lt;2,"",D41-C41)</f>
      </c>
      <c r="F41" s="20">
        <f>IF(E41="","",IF(E41&lt;=14,"Yes","No - over two weeks"))</f>
      </c>
      <c r="G41" s="16"/>
      <c r="H41" s="16"/>
      <c r="I41" s="16"/>
      <c r="J41" s="17"/>
      <c r="K41" s="16"/>
      <c r="L41" s="17"/>
      <c r="M41" s="20">
        <f>IF(COUNTA(H41,I41,K41)=0,"",IF(AND(H41="Yes",I41="Yes",K41="Yes",'Assurance and gate'!W41="Passed"),"Yes","Not yet"))</f>
      </c>
      <c r="N41" s="20">
        <f>IF('Outcome contract'!D41="","",'Outcome contract'!D41)</f>
      </c>
      <c r="O41" s="16"/>
      <c r="P41" s="17"/>
      <c r="Q41" s="16"/>
      <c r="R41" s="17"/>
      <c r="S41" s="16"/>
      <c r="T41" s="16"/>
      <c r="U41" s="17"/>
      <c r="V41" s="16"/>
      <c r="W41" s="16"/>
      <c r="X41" s="16"/>
    </row>
    <row r="42" ht="30" customHeight="1" spans="1:24" x14ac:dyDescent="0.25">
      <c r="A42" s="20">
        <f>IF(Register!A42="","",Register!A42)</f>
      </c>
      <c r="B42" s="20">
        <f>IF(Register!C42="","",Register!C42)</f>
      </c>
      <c r="C42" s="17"/>
      <c r="D42" s="17"/>
      <c r="E42" s="31">
        <f>IF(COUNT(C42:D42)&lt;2,"",D42-C42)</f>
      </c>
      <c r="F42" s="20">
        <f>IF(E42="","",IF(E42&lt;=14,"Yes","No - over two weeks"))</f>
      </c>
      <c r="G42" s="16"/>
      <c r="H42" s="16"/>
      <c r="I42" s="16"/>
      <c r="J42" s="17"/>
      <c r="K42" s="16"/>
      <c r="L42" s="17"/>
      <c r="M42" s="20">
        <f>IF(COUNTA(H42,I42,K42)=0,"",IF(AND(H42="Yes",I42="Yes",K42="Yes",'Assurance and gate'!W42="Passed"),"Yes","Not yet"))</f>
      </c>
      <c r="N42" s="20">
        <f>IF('Outcome contract'!D42="","",'Outcome contract'!D42)</f>
      </c>
      <c r="O42" s="16"/>
      <c r="P42" s="17"/>
      <c r="Q42" s="16"/>
      <c r="R42" s="17"/>
      <c r="S42" s="16"/>
      <c r="T42" s="16"/>
      <c r="U42" s="17"/>
      <c r="V42" s="16"/>
      <c r="W42" s="16"/>
      <c r="X42" s="16"/>
    </row>
    <row r="43" ht="30" customHeight="1" spans="1:24" x14ac:dyDescent="0.25">
      <c r="A43" s="20">
        <f>IF(Register!A43="","",Register!A43)</f>
      </c>
      <c r="B43" s="20">
        <f>IF(Register!C43="","",Register!C43)</f>
      </c>
      <c r="C43" s="17"/>
      <c r="D43" s="17"/>
      <c r="E43" s="31">
        <f>IF(COUNT(C43:D43)&lt;2,"",D43-C43)</f>
      </c>
      <c r="F43" s="20">
        <f>IF(E43="","",IF(E43&lt;=14,"Yes","No - over two weeks"))</f>
      </c>
      <c r="G43" s="16"/>
      <c r="H43" s="16"/>
      <c r="I43" s="16"/>
      <c r="J43" s="17"/>
      <c r="K43" s="16"/>
      <c r="L43" s="17"/>
      <c r="M43" s="20">
        <f>IF(COUNTA(H43,I43,K43)=0,"",IF(AND(H43="Yes",I43="Yes",K43="Yes",'Assurance and gate'!W43="Passed"),"Yes","Not yet"))</f>
      </c>
      <c r="N43" s="20">
        <f>IF('Outcome contract'!D43="","",'Outcome contract'!D43)</f>
      </c>
      <c r="O43" s="16"/>
      <c r="P43" s="17"/>
      <c r="Q43" s="16"/>
      <c r="R43" s="17"/>
      <c r="S43" s="16"/>
      <c r="T43" s="16"/>
      <c r="U43" s="17"/>
      <c r="V43" s="16"/>
      <c r="W43" s="16"/>
      <c r="X43" s="16"/>
    </row>
    <row r="44" ht="30" customHeight="1" spans="1:24" x14ac:dyDescent="0.25">
      <c r="A44" s="20">
        <f>IF(Register!A44="","",Register!A44)</f>
      </c>
      <c r="B44" s="20">
        <f>IF(Register!C44="","",Register!C44)</f>
      </c>
      <c r="C44" s="17"/>
      <c r="D44" s="17"/>
      <c r="E44" s="31">
        <f>IF(COUNT(C44:D44)&lt;2,"",D44-C44)</f>
      </c>
      <c r="F44" s="20">
        <f>IF(E44="","",IF(E44&lt;=14,"Yes","No - over two weeks"))</f>
      </c>
      <c r="G44" s="16"/>
      <c r="H44" s="16"/>
      <c r="I44" s="16"/>
      <c r="J44" s="17"/>
      <c r="K44" s="16"/>
      <c r="L44" s="17"/>
      <c r="M44" s="20">
        <f>IF(COUNTA(H44,I44,K44)=0,"",IF(AND(H44="Yes",I44="Yes",K44="Yes",'Assurance and gate'!W44="Passed"),"Yes","Not yet"))</f>
      </c>
      <c r="N44" s="20">
        <f>IF('Outcome contract'!D44="","",'Outcome contract'!D44)</f>
      </c>
      <c r="O44" s="16"/>
      <c r="P44" s="17"/>
      <c r="Q44" s="16"/>
      <c r="R44" s="17"/>
      <c r="S44" s="16"/>
      <c r="T44" s="16"/>
      <c r="U44" s="17"/>
      <c r="V44" s="16"/>
      <c r="W44" s="16"/>
      <c r="X44" s="16"/>
    </row>
    <row r="45" ht="30" customHeight="1" spans="1:24" x14ac:dyDescent="0.25">
      <c r="A45" s="20">
        <f>IF(Register!A45="","",Register!A45)</f>
      </c>
      <c r="B45" s="20">
        <f>IF(Register!C45="","",Register!C45)</f>
      </c>
      <c r="C45" s="17"/>
      <c r="D45" s="17"/>
      <c r="E45" s="31">
        <f>IF(COUNT(C45:D45)&lt;2,"",D45-C45)</f>
      </c>
      <c r="F45" s="20">
        <f>IF(E45="","",IF(E45&lt;=14,"Yes","No - over two weeks"))</f>
      </c>
      <c r="G45" s="16"/>
      <c r="H45" s="16"/>
      <c r="I45" s="16"/>
      <c r="J45" s="17"/>
      <c r="K45" s="16"/>
      <c r="L45" s="17"/>
      <c r="M45" s="20">
        <f>IF(COUNTA(H45,I45,K45)=0,"",IF(AND(H45="Yes",I45="Yes",K45="Yes",'Assurance and gate'!W45="Passed"),"Yes","Not yet"))</f>
      </c>
      <c r="N45" s="20">
        <f>IF('Outcome contract'!D45="","",'Outcome contract'!D45)</f>
      </c>
      <c r="O45" s="16"/>
      <c r="P45" s="17"/>
      <c r="Q45" s="16"/>
      <c r="R45" s="17"/>
      <c r="S45" s="16"/>
      <c r="T45" s="16"/>
      <c r="U45" s="17"/>
      <c r="V45" s="16"/>
      <c r="W45" s="16"/>
      <c r="X45" s="16"/>
    </row>
    <row r="46" ht="30" customHeight="1" spans="1:24" x14ac:dyDescent="0.25">
      <c r="A46" s="20">
        <f>IF(Register!A46="","",Register!A46)</f>
      </c>
      <c r="B46" s="20">
        <f>IF(Register!C46="","",Register!C46)</f>
      </c>
      <c r="C46" s="17"/>
      <c r="D46" s="17"/>
      <c r="E46" s="31">
        <f>IF(COUNT(C46:D46)&lt;2,"",D46-C46)</f>
      </c>
      <c r="F46" s="20">
        <f>IF(E46="","",IF(E46&lt;=14,"Yes","No - over two weeks"))</f>
      </c>
      <c r="G46" s="16"/>
      <c r="H46" s="16"/>
      <c r="I46" s="16"/>
      <c r="J46" s="17"/>
      <c r="K46" s="16"/>
      <c r="L46" s="17"/>
      <c r="M46" s="20">
        <f>IF(COUNTA(H46,I46,K46)=0,"",IF(AND(H46="Yes",I46="Yes",K46="Yes",'Assurance and gate'!W46="Passed"),"Yes","Not yet"))</f>
      </c>
      <c r="N46" s="20">
        <f>IF('Outcome contract'!D46="","",'Outcome contract'!D46)</f>
      </c>
      <c r="O46" s="16"/>
      <c r="P46" s="17"/>
      <c r="Q46" s="16"/>
      <c r="R46" s="17"/>
      <c r="S46" s="16"/>
      <c r="T46" s="16"/>
      <c r="U46" s="17"/>
      <c r="V46" s="16"/>
      <c r="W46" s="16"/>
      <c r="X46" s="16"/>
    </row>
    <row r="47" ht="30" customHeight="1" spans="1:24" x14ac:dyDescent="0.25">
      <c r="A47" s="20">
        <f>IF(Register!A47="","",Register!A47)</f>
      </c>
      <c r="B47" s="20">
        <f>IF(Register!C47="","",Register!C47)</f>
      </c>
      <c r="C47" s="17"/>
      <c r="D47" s="17"/>
      <c r="E47" s="31">
        <f>IF(COUNT(C47:D47)&lt;2,"",D47-C47)</f>
      </c>
      <c r="F47" s="20">
        <f>IF(E47="","",IF(E47&lt;=14,"Yes","No - over two weeks"))</f>
      </c>
      <c r="G47" s="16"/>
      <c r="H47" s="16"/>
      <c r="I47" s="16"/>
      <c r="J47" s="17"/>
      <c r="K47" s="16"/>
      <c r="L47" s="17"/>
      <c r="M47" s="20">
        <f>IF(COUNTA(H47,I47,K47)=0,"",IF(AND(H47="Yes",I47="Yes",K47="Yes",'Assurance and gate'!W47="Passed"),"Yes","Not yet"))</f>
      </c>
      <c r="N47" s="20">
        <f>IF('Outcome contract'!D47="","",'Outcome contract'!D47)</f>
      </c>
      <c r="O47" s="16"/>
      <c r="P47" s="17"/>
      <c r="Q47" s="16"/>
      <c r="R47" s="17"/>
      <c r="S47" s="16"/>
      <c r="T47" s="16"/>
      <c r="U47" s="17"/>
      <c r="V47" s="16"/>
      <c r="W47" s="16"/>
      <c r="X47" s="16"/>
    </row>
    <row r="48" ht="30" customHeight="1" spans="1:24" x14ac:dyDescent="0.25">
      <c r="A48" s="20">
        <f>IF(Register!A48="","",Register!A48)</f>
      </c>
      <c r="B48" s="20">
        <f>IF(Register!C48="","",Register!C48)</f>
      </c>
      <c r="C48" s="17"/>
      <c r="D48" s="17"/>
      <c r="E48" s="31">
        <f>IF(COUNT(C48:D48)&lt;2,"",D48-C48)</f>
      </c>
      <c r="F48" s="20">
        <f>IF(E48="","",IF(E48&lt;=14,"Yes","No - over two weeks"))</f>
      </c>
      <c r="G48" s="16"/>
      <c r="H48" s="16"/>
      <c r="I48" s="16"/>
      <c r="J48" s="17"/>
      <c r="K48" s="16"/>
      <c r="L48" s="17"/>
      <c r="M48" s="20">
        <f>IF(COUNTA(H48,I48,K48)=0,"",IF(AND(H48="Yes",I48="Yes",K48="Yes",'Assurance and gate'!W48="Passed"),"Yes","Not yet"))</f>
      </c>
      <c r="N48" s="20">
        <f>IF('Outcome contract'!D48="","",'Outcome contract'!D48)</f>
      </c>
      <c r="O48" s="16"/>
      <c r="P48" s="17"/>
      <c r="Q48" s="16"/>
      <c r="R48" s="17"/>
      <c r="S48" s="16"/>
      <c r="T48" s="16"/>
      <c r="U48" s="17"/>
      <c r="V48" s="16"/>
      <c r="W48" s="16"/>
      <c r="X48" s="16"/>
    </row>
    <row r="49" ht="30" customHeight="1" spans="1:24" x14ac:dyDescent="0.25">
      <c r="A49" s="20">
        <f>IF(Register!A49="","",Register!A49)</f>
      </c>
      <c r="B49" s="20">
        <f>IF(Register!C49="","",Register!C49)</f>
      </c>
      <c r="C49" s="17"/>
      <c r="D49" s="17"/>
      <c r="E49" s="31">
        <f>IF(COUNT(C49:D49)&lt;2,"",D49-C49)</f>
      </c>
      <c r="F49" s="20">
        <f>IF(E49="","",IF(E49&lt;=14,"Yes","No - over two weeks"))</f>
      </c>
      <c r="G49" s="16"/>
      <c r="H49" s="16"/>
      <c r="I49" s="16"/>
      <c r="J49" s="17"/>
      <c r="K49" s="16"/>
      <c r="L49" s="17"/>
      <c r="M49" s="20">
        <f>IF(COUNTA(H49,I49,K49)=0,"",IF(AND(H49="Yes",I49="Yes",K49="Yes",'Assurance and gate'!W49="Passed"),"Yes","Not yet"))</f>
      </c>
      <c r="N49" s="20">
        <f>IF('Outcome contract'!D49="","",'Outcome contract'!D49)</f>
      </c>
      <c r="O49" s="16"/>
      <c r="P49" s="17"/>
      <c r="Q49" s="16"/>
      <c r="R49" s="17"/>
      <c r="S49" s="16"/>
      <c r="T49" s="16"/>
      <c r="U49" s="17"/>
      <c r="V49" s="16"/>
      <c r="W49" s="16"/>
      <c r="X49" s="16"/>
    </row>
    <row r="50" ht="30" customHeight="1" spans="1:24" x14ac:dyDescent="0.25">
      <c r="A50" s="20">
        <f>IF(Register!A50="","",Register!A50)</f>
      </c>
      <c r="B50" s="20">
        <f>IF(Register!C50="","",Register!C50)</f>
      </c>
      <c r="C50" s="17"/>
      <c r="D50" s="17"/>
      <c r="E50" s="31">
        <f>IF(COUNT(C50:D50)&lt;2,"",D50-C50)</f>
      </c>
      <c r="F50" s="20">
        <f>IF(E50="","",IF(E50&lt;=14,"Yes","No - over two weeks"))</f>
      </c>
      <c r="G50" s="16"/>
      <c r="H50" s="16"/>
      <c r="I50" s="16"/>
      <c r="J50" s="17"/>
      <c r="K50" s="16"/>
      <c r="L50" s="17"/>
      <c r="M50" s="20">
        <f>IF(COUNTA(H50,I50,K50)=0,"",IF(AND(H50="Yes",I50="Yes",K50="Yes",'Assurance and gate'!W50="Passed"),"Yes","Not yet"))</f>
      </c>
      <c r="N50" s="20">
        <f>IF('Outcome contract'!D50="","",'Outcome contract'!D50)</f>
      </c>
      <c r="O50" s="16"/>
      <c r="P50" s="17"/>
      <c r="Q50" s="16"/>
      <c r="R50" s="17"/>
      <c r="S50" s="16"/>
      <c r="T50" s="16"/>
      <c r="U50" s="17"/>
      <c r="V50" s="16"/>
      <c r="W50" s="16"/>
      <c r="X50" s="16"/>
    </row>
    <row r="51" ht="30" customHeight="1" spans="1:24" x14ac:dyDescent="0.25">
      <c r="A51" s="20">
        <f>IF(Register!A51="","",Register!A51)</f>
      </c>
      <c r="B51" s="20">
        <f>IF(Register!C51="","",Register!C51)</f>
      </c>
      <c r="C51" s="17"/>
      <c r="D51" s="17"/>
      <c r="E51" s="31">
        <f>IF(COUNT(C51:D51)&lt;2,"",D51-C51)</f>
      </c>
      <c r="F51" s="20">
        <f>IF(E51="","",IF(E51&lt;=14,"Yes","No - over two weeks"))</f>
      </c>
      <c r="G51" s="16"/>
      <c r="H51" s="16"/>
      <c r="I51" s="16"/>
      <c r="J51" s="17"/>
      <c r="K51" s="16"/>
      <c r="L51" s="17"/>
      <c r="M51" s="20">
        <f>IF(COUNTA(H51,I51,K51)=0,"",IF(AND(H51="Yes",I51="Yes",K51="Yes",'Assurance and gate'!W51="Passed"),"Yes","Not yet"))</f>
      </c>
      <c r="N51" s="20">
        <f>IF('Outcome contract'!D51="","",'Outcome contract'!D51)</f>
      </c>
      <c r="O51" s="16"/>
      <c r="P51" s="17"/>
      <c r="Q51" s="16"/>
      <c r="R51" s="17"/>
      <c r="S51" s="16"/>
      <c r="T51" s="16"/>
      <c r="U51" s="17"/>
      <c r="V51" s="16"/>
      <c r="W51" s="16"/>
      <c r="X51" s="16"/>
    </row>
    <row r="52" ht="30" customHeight="1" spans="1:24" x14ac:dyDescent="0.25">
      <c r="A52" s="20">
        <f>IF(Register!A52="","",Register!A52)</f>
      </c>
      <c r="B52" s="20">
        <f>IF(Register!C52="","",Register!C52)</f>
      </c>
      <c r="C52" s="17"/>
      <c r="D52" s="17"/>
      <c r="E52" s="31">
        <f>IF(COUNT(C52:D52)&lt;2,"",D52-C52)</f>
      </c>
      <c r="F52" s="20">
        <f>IF(E52="","",IF(E52&lt;=14,"Yes","No - over two weeks"))</f>
      </c>
      <c r="G52" s="16"/>
      <c r="H52" s="16"/>
      <c r="I52" s="16"/>
      <c r="J52" s="17"/>
      <c r="K52" s="16"/>
      <c r="L52" s="17"/>
      <c r="M52" s="20">
        <f>IF(COUNTA(H52,I52,K52)=0,"",IF(AND(H52="Yes",I52="Yes",K52="Yes",'Assurance and gate'!W52="Passed"),"Yes","Not yet"))</f>
      </c>
      <c r="N52" s="20">
        <f>IF('Outcome contract'!D52="","",'Outcome contract'!D52)</f>
      </c>
      <c r="O52" s="16"/>
      <c r="P52" s="17"/>
      <c r="Q52" s="16"/>
      <c r="R52" s="17"/>
      <c r="S52" s="16"/>
      <c r="T52" s="16"/>
      <c r="U52" s="17"/>
      <c r="V52" s="16"/>
      <c r="W52" s="16"/>
      <c r="X52" s="16"/>
    </row>
  </sheetData>
  <autoFilter ref="A2:X52"/>
  <mergeCells count="3">
    <mergeCell ref="A1:B1"/>
    <mergeCell ref="C1:M1"/>
    <mergeCell ref="N1:X1"/>
  </mergeCells>
  <conditionalFormatting sqref="M3:M52">
    <cfRule type="containsText" dxfId="9" priority="1">
      <formula>NOT(ISERROR(SEARCH("Not yet",M3)))</formula>
    </cfRule>
    <cfRule type="containsText" dxfId="10" priority="2">
      <formula>NOT(ISERROR(SEARCH("Yes",M3)))</formula>
    </cfRule>
  </conditionalFormatting>
  <dataValidations count="6">
    <dataValidation type="list" allowBlank="1" sqref="H10:I52">
      <formula1>Lists!$M$3:$M$5</formula1>
    </dataValidation>
    <dataValidation type="list" allowBlank="1" sqref="H3:I52">
      <formula1>Lists!$M$3:$M$5</formula1>
    </dataValidation>
    <dataValidation type="list" allowBlank="1" sqref="K10:K52">
      <formula1>Lists!$M$3:$M$5</formula1>
    </dataValidation>
    <dataValidation type="list" allowBlank="1" sqref="K3:K52">
      <formula1>Lists!$M$3:$M$5</formula1>
    </dataValidation>
    <dataValidation type="list" allowBlank="1" sqref="V10:V52">
      <formula1>Lists!$M$3:$M$5</formula1>
    </dataValidation>
    <dataValidation type="list" allowBlank="1" sqref="V3:V52">
      <formula1>Lists!$M$3:$M$5</formula1>
    </dataValidation>
  </dataValidation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F3F3F"/>
  </sheetPr>
  <dimension ref="A1:N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3" width="11" customWidth="1"/>
    <col min="4" max="4" width="32" customWidth="1"/>
    <col min="5" max="5" width="15" customWidth="1"/>
    <col min="6" max="6" width="13" customWidth="1"/>
    <col min="7" max="7" width="36" customWidth="1"/>
    <col min="8" max="8" width="34" customWidth="1"/>
    <col min="9" max="9" width="30" customWidth="1"/>
    <col min="10" max="10" width="34" customWidth="1"/>
    <col min="11" max="11" width="22" customWidth="1"/>
    <col min="12" max="12" width="30" customWidth="1"/>
    <col min="13" max="13" width="56" customWidth="1"/>
    <col min="14" max="14" width="12" customWidth="1"/>
  </cols>
  <sheetData>
    <row r="1" ht="20" customHeight="1" spans="1:14" x14ac:dyDescent="0.25">
      <c r="A1" s="11" t="s">
        <v>331</v>
      </c>
      <c r="B1" s="11"/>
      <c r="C1" s="13" t="s">
        <v>500</v>
      </c>
      <c r="D1" s="13"/>
      <c r="E1" s="13"/>
      <c r="F1" s="13"/>
      <c r="G1" s="22" t="s">
        <v>501</v>
      </c>
      <c r="H1" s="22"/>
      <c r="I1" s="30" t="s">
        <v>502</v>
      </c>
      <c r="J1" s="30"/>
      <c r="K1" s="30"/>
      <c r="L1" s="32" t="s">
        <v>503</v>
      </c>
      <c r="M1" s="32"/>
      <c r="N1" s="32"/>
    </row>
    <row r="2" ht="48" customHeight="1" spans="1:14" x14ac:dyDescent="0.25">
      <c r="A2" s="15" t="s">
        <v>296</v>
      </c>
      <c r="B2" s="15" t="s">
        <v>335</v>
      </c>
      <c r="C2" s="15" t="s">
        <v>317</v>
      </c>
      <c r="D2" s="15" t="s">
        <v>504</v>
      </c>
      <c r="E2" s="15" t="s">
        <v>14</v>
      </c>
      <c r="F2" s="15" t="s">
        <v>505</v>
      </c>
      <c r="G2" s="15" t="s">
        <v>506</v>
      </c>
      <c r="H2" s="15" t="s">
        <v>507</v>
      </c>
      <c r="I2" s="15" t="s">
        <v>508</v>
      </c>
      <c r="J2" s="15" t="s">
        <v>509</v>
      </c>
      <c r="K2" s="15" t="s">
        <v>316</v>
      </c>
      <c r="L2" s="15" t="s">
        <v>510</v>
      </c>
      <c r="M2" s="15" t="s">
        <v>511</v>
      </c>
      <c r="N2" s="15" t="s">
        <v>318</v>
      </c>
    </row>
    <row r="3" ht="30" customHeight="1" spans="1:14" x14ac:dyDescent="0.25">
      <c r="A3" s="20">
        <f>IF(Register!A3="","",Register!A3)</f>
      </c>
      <c r="B3" s="20">
        <f>IF(Register!C3="","",Register!C3)</f>
      </c>
      <c r="C3" s="20">
        <f>IF(OR(IF(Register!U3="",Register!T3,Register!U3)="",'Eight questions'!F3="",'Eight questions'!J3="",'Eight questions'!L3="",'Eight questions'!M3="",'Eight questions'!O3=""),"",IF(AND(IF(Register!U3="",Register!T3,Register!U3)&lt;&gt;"Agent",VALUE(LEFT('Eight questions'!F3,1))&lt;=2,'Eight questions'!O3="Read only",OR('Eight questions'!J3="Public",'Eight questions'!J3="Internal"),OR('Eight questions'!L3="Nothing",'Eight questions'!L3="Static documents"),'Eight questions'!M3="Yes, in production"),"Quick win","No"))</f>
      </c>
      <c r="D3" s="20">
        <f>IF(C3&lt;&gt;"No","",IF(IF(Register!U3="",Register!T3,Register!U3)="Agent","It is an agent",IF(VALUE(LEFT('Eight questions'!F3,1))&gt;2,"Reach is tier 3 or above",IF('Eight questions'!O3&lt;&gt;"Read only","It is not read only - "&amp;'Eight questions'!O3,IF(OR('Eight questions'!J3="Confidential",'Eight questions'!J3="Regulated"),"Data class is "&amp;'Eight questions'!J3,IF(OR('Eight questions'!L3="Live system state",'Eight questions'!L3="Take an action",'Eight questions'!L3="Analytical data"),"The source is not static - "&amp;'Eight questions'!L3,IF('Eight questions'!M3&lt;&gt;"Yes, in production","The connection does not exist in production","")))))))</f>
      </c>
      <c r="E3" s="20">
        <f>IF('Assurance and gate'!K3="","",'Assurance and gate'!K3)</f>
      </c>
      <c r="F3" s="20">
        <f>IF('Eight questions'!M3="","",IF('Eight questions'!M3="No","Yes - programme work, not a quick win","No"))</f>
      </c>
      <c r="G3" s="20">
        <f>IF(IF('Technology direction'!D3="",'Technology direction'!C3,'Technology direction'!D3)="","",IF('Technology direction'!D3="",'Technology direction'!C3,'Technology direction'!D3)&amp;IF('Technology direction'!H3=""," "," - "&amp;'Technology direction'!H3)&amp;IF('Eight questions'!J3="Regulated"," - constrained by regulated data: a stated data location and private networking",IF('Eight questions'!J3="Confidential"," - constrained by confidential data: an explicit DLP policy and a named retention period","")))</f>
      </c>
      <c r="H3" s="20">
        <f>IF(IF('Technology direction'!D3="",'Technology direction'!C3,'Technology direction'!D3)="","",IF(IF('Technology direction'!D3="",'Technology direction'!C3,'Technology direction'!D3)="1 Not AI","Automation or data platform team",IF(IF('Technology direction'!D3="",'Technology direction'!C3,'Technology direction'!D3)="2 Ready-made","Workload team plus a Microsoft 365 administrator",IF(IF('Technology direction'!D3="",'Technology direction'!C3,'Technology direction'!D3)="3 Low-code","Workload team, a Copilot Studio maker, and the Platform team for connectors and DLP","Platform team, pro-code engineers, AI security and evaluation")))&amp;IF('Assurance and gate'!J3&gt;=3," - plus AI Centre of Excellence review",""))</f>
      </c>
      <c r="I3" s="20">
        <f>IF(IF('Technology direction'!D3="",'Technology direction'!C3,'Technology direction'!D3)="","",IF(IF('Technology direction'!D3="",'Technology direction'!C3,'Technology direction'!D3)="1 Not AI","Configuration: days to weeks",IF(IF('Technology direction'!D3="",'Technology direction'!C3,'Technology direction'!D3)="2 Ready-made","Configure and adopt: one to three weeks",IF(IF('Technology direction'!D3="",'Technology direction'!C3,'Technology direction'!D3)="3 Low-code","Low-code build: three to eight weeks",IF(IF('Technology direction'!D3="",'Technology direction'!C3,'Technology direction'!D3)="4 Pro-code","Pro-code build: two to six months","Platform build: six months or more"))))&amp;IF('Eight questions'!M3="No"," - integration-led, and the integration conversation comes first",""))</f>
      </c>
      <c r="J3" s="20">
        <f>IF('Assurance and gate'!J3="","",IF('Assurance and gate'!J3=1,"Standard guardrails only",IF('Assurance and gate'!J3=2,"Named owner spot-checks, plus platform monitoring",IF('Assurance and gate'!J3=3,"Measured pilot, scheduled re-evaluation and a decision gate","A staffed human control that recurs every time the process runs, monitoring, scheduled evaluation and a route to a person")))&amp;" - plus licences, credits and the monthly consumption review")</f>
      </c>
      <c r="K3" s="20">
        <f>IF(OR('Eight questions'!L3="",'Eight questions'!M3=""),"",IF('Eight questions'!M3="No","Months - integration-led",IF(OR('Eight questions'!L3="Live system state",'Eight questions'!L3="Take an action"),"Months",IF('Eight questions'!L3="Analytical data","Weeks to months",IF('Assurance and gate'!J3=4,"Weeks, plus a full assurance cycle","Weeks")))))</f>
      </c>
      <c r="L3" s="20">
        <f>IF(IF('Technology direction'!D3="",'Technology direction'!C3,'Technology direction'!D3)="","",IF(IF('Technology direction'!D3="",'Technology direction'!C3,'Technology direction'!D3)="1 Not AI","Automation or Fabric guidance",IF(IF('Technology direction'!D3="",'Technology direction'!C3,'Technology direction'!D3)="2 Ready-made","Ready-made agent enablement and an adoption workshop",IF(IF('Technology direction'!D3="",'Technology direction'!C3,'Technology direction'!D3)="3 Low-code","Copilot Studio enablement, plus a partner for connectors","An architecture design session, plus a partner for the build")))&amp;IF('Assurance and gate'!J3=4," - plus a responsible AI review",""))</f>
      </c>
      <c r="M3" s="20">
        <f>IF(B3="","",IF('Outcome contract'!C3="","The result, stated as an outcome with a number. ","")&amp;IF('Outcome contract'!E3="","Baseline today. ","")&amp;IF('Outcome contract'!F3="","Target. ","")&amp;IF('Outcome contract'!G3="","Owner for the build. ","")&amp;IF('Outcome contract'!H3="","Owner after go-live. ","")&amp;IF('Outcome contract'!I3="","The boundary: what it will refuse to do. ","")&amp;IF(COUNTBLANK('Outcome contract'!M3)&gt;0,"V1 how many people do this work today. ","")&amp;IF(COUNTBLANK('Outcome contract'!N3)&gt;0,"V2 how often it happens. ","")&amp;IF(COUNTBLANK('Outcome contract'!O3)&gt;0,"V3 how long it takes each time. ","")&amp;IF(COUNTBLANK('Outcome contract'!P3)&gt;0,"V4 how often it goes wrong and what that costs. ","")&amp;IF('Outcome contract'!S3="","V6 what happens to the time saved. ","")&amp;IF('Eight questions'!J3="","Data classification. ","")&amp;IF('Eight questions'!M3="","Whether the connection already exists. ","")&amp;IF('Eight questions'!O3="","What a wrong answer costs. ","")&amp;IF(AND('Eight questions'!J3="Regulated",'Eight questions'!I3=""),"Consent and residency position. ",""))</f>
      </c>
      <c r="N3" s="21">
        <f>IF(B3="","",(15-(IF('Outcome contract'!C3="",1,0)+IF('Outcome contract'!E3="",1,0)+IF('Outcome contract'!F3="",1,0)+IF('Outcome contract'!G3="",1,0)+IF('Outcome contract'!H3="",1,0)+IF('Outcome contract'!I3="",1,0)+COUNTBLANK('Outcome contract'!M3)+COUNTBLANK('Outcome contract'!N3)+COUNTBLANK('Outcome contract'!O3)+COUNTBLANK('Outcome contract'!P3)+IF('Outcome contract'!S3="",1,0)+IF('Eight questions'!J3="",1,0)+IF('Eight questions'!M3="",1,0)+IF('Eight questions'!O3="",1,0)+IF('Eight questions'!C3="",1,0)))/15)</f>
      </c>
    </row>
    <row r="4" ht="30" customHeight="1" spans="1:14" x14ac:dyDescent="0.25">
      <c r="A4" s="20">
        <f>IF(Register!A4="","",Register!A4)</f>
      </c>
      <c r="B4" s="20">
        <f>IF(Register!C4="","",Register!C4)</f>
      </c>
      <c r="C4" s="20">
        <f>IF(OR(IF(Register!U4="",Register!T4,Register!U4)="",'Eight questions'!F4="",'Eight questions'!J4="",'Eight questions'!L4="",'Eight questions'!M4="",'Eight questions'!O4=""),"",IF(AND(IF(Register!U4="",Register!T4,Register!U4)&lt;&gt;"Agent",VALUE(LEFT('Eight questions'!F4,1))&lt;=2,'Eight questions'!O4="Read only",OR('Eight questions'!J4="Public",'Eight questions'!J4="Internal"),OR('Eight questions'!L4="Nothing",'Eight questions'!L4="Static documents"),'Eight questions'!M4="Yes, in production"),"Quick win","No"))</f>
      </c>
      <c r="D4" s="20">
        <f>IF(C4&lt;&gt;"No","",IF(IF(Register!U4="",Register!T4,Register!U4)="Agent","It is an agent",IF(VALUE(LEFT('Eight questions'!F4,1))&gt;2,"Reach is tier 3 or above",IF('Eight questions'!O4&lt;&gt;"Read only","It is not read only - "&amp;'Eight questions'!O4,IF(OR('Eight questions'!J4="Confidential",'Eight questions'!J4="Regulated"),"Data class is "&amp;'Eight questions'!J4,IF(OR('Eight questions'!L4="Live system state",'Eight questions'!L4="Take an action",'Eight questions'!L4="Analytical data"),"The source is not static - "&amp;'Eight questions'!L4,IF('Eight questions'!M4&lt;&gt;"Yes, in production","The connection does not exist in production","")))))))</f>
      </c>
      <c r="E4" s="20">
        <f>IF('Assurance and gate'!K4="","",'Assurance and gate'!K4)</f>
      </c>
      <c r="F4" s="20">
        <f>IF('Eight questions'!M4="","",IF('Eight questions'!M4="No","Yes - programme work, not a quick win","No"))</f>
      </c>
      <c r="G4" s="20">
        <f>IF(IF('Technology direction'!D4="",'Technology direction'!C4,'Technology direction'!D4)="","",IF('Technology direction'!D4="",'Technology direction'!C4,'Technology direction'!D4)&amp;IF('Technology direction'!H4=""," "," - "&amp;'Technology direction'!H4)&amp;IF('Eight questions'!J4="Regulated"," - constrained by regulated data: a stated data location and private networking",IF('Eight questions'!J4="Confidential"," - constrained by confidential data: an explicit DLP policy and a named retention period","")))</f>
      </c>
      <c r="H4" s="20">
        <f>IF(IF('Technology direction'!D4="",'Technology direction'!C4,'Technology direction'!D4)="","",IF(IF('Technology direction'!D4="",'Technology direction'!C4,'Technology direction'!D4)="1 Not AI","Automation or data platform team",IF(IF('Technology direction'!D4="",'Technology direction'!C4,'Technology direction'!D4)="2 Ready-made","Workload team plus a Microsoft 365 administrator",IF(IF('Technology direction'!D4="",'Technology direction'!C4,'Technology direction'!D4)="3 Low-code","Workload team, a Copilot Studio maker, and the Platform team for connectors and DLP","Platform team, pro-code engineers, AI security and evaluation")))&amp;IF('Assurance and gate'!J4&gt;=3," - plus AI Centre of Excellence review",""))</f>
      </c>
      <c r="I4" s="20">
        <f>IF(IF('Technology direction'!D4="",'Technology direction'!C4,'Technology direction'!D4)="","",IF(IF('Technology direction'!D4="",'Technology direction'!C4,'Technology direction'!D4)="1 Not AI","Configuration: days to weeks",IF(IF('Technology direction'!D4="",'Technology direction'!C4,'Technology direction'!D4)="2 Ready-made","Configure and adopt: one to three weeks",IF(IF('Technology direction'!D4="",'Technology direction'!C4,'Technology direction'!D4)="3 Low-code","Low-code build: three to eight weeks",IF(IF('Technology direction'!D4="",'Technology direction'!C4,'Technology direction'!D4)="4 Pro-code","Pro-code build: two to six months","Platform build: six months or more"))))&amp;IF('Eight questions'!M4="No"," - integration-led, and the integration conversation comes first",""))</f>
      </c>
      <c r="J4" s="20">
        <f>IF('Assurance and gate'!J4="","",IF('Assurance and gate'!J4=1,"Standard guardrails only",IF('Assurance and gate'!J4=2,"Named owner spot-checks, plus platform monitoring",IF('Assurance and gate'!J4=3,"Measured pilot, scheduled re-evaluation and a decision gate","A staffed human control that recurs every time the process runs, monitoring, scheduled evaluation and a route to a person")))&amp;" - plus licences, credits and the monthly consumption review")</f>
      </c>
      <c r="K4" s="20">
        <f>IF(OR('Eight questions'!L4="",'Eight questions'!M4=""),"",IF('Eight questions'!M4="No","Months - integration-led",IF(OR('Eight questions'!L4="Live system state",'Eight questions'!L4="Take an action"),"Months",IF('Eight questions'!L4="Analytical data","Weeks to months",IF('Assurance and gate'!J4=4,"Weeks, plus a full assurance cycle","Weeks")))))</f>
      </c>
      <c r="L4" s="20">
        <f>IF(IF('Technology direction'!D4="",'Technology direction'!C4,'Technology direction'!D4)="","",IF(IF('Technology direction'!D4="",'Technology direction'!C4,'Technology direction'!D4)="1 Not AI","Automation or Fabric guidance",IF(IF('Technology direction'!D4="",'Technology direction'!C4,'Technology direction'!D4)="2 Ready-made","Ready-made agent enablement and an adoption workshop",IF(IF('Technology direction'!D4="",'Technology direction'!C4,'Technology direction'!D4)="3 Low-code","Copilot Studio enablement, plus a partner for connectors","An architecture design session, plus a partner for the build")))&amp;IF('Assurance and gate'!J4=4," - plus a responsible AI review",""))</f>
      </c>
      <c r="M4" s="20">
        <f>IF(B4="","",IF('Outcome contract'!C4="","The result, stated as an outcome with a number. ","")&amp;IF('Outcome contract'!E4="","Baseline today. ","")&amp;IF('Outcome contract'!F4="","Target. ","")&amp;IF('Outcome contract'!G4="","Owner for the build. ","")&amp;IF('Outcome contract'!H4="","Owner after go-live. ","")&amp;IF('Outcome contract'!I4="","The boundary: what it will refuse to do. ","")&amp;IF(COUNTBLANK('Outcome contract'!M4)&gt;0,"V1 how many people do this work today. ","")&amp;IF(COUNTBLANK('Outcome contract'!N4)&gt;0,"V2 how often it happens. ","")&amp;IF(COUNTBLANK('Outcome contract'!O4)&gt;0,"V3 how long it takes each time. ","")&amp;IF(COUNTBLANK('Outcome contract'!P4)&gt;0,"V4 how often it goes wrong and what that costs. ","")&amp;IF('Outcome contract'!S4="","V6 what happens to the time saved. ","")&amp;IF('Eight questions'!J4="","Data classification. ","")&amp;IF('Eight questions'!M4="","Whether the connection already exists. ","")&amp;IF('Eight questions'!O4="","What a wrong answer costs. ","")&amp;IF(AND('Eight questions'!J4="Regulated",'Eight questions'!I4=""),"Consent and residency position. ",""))</f>
      </c>
      <c r="N4" s="21">
        <f>IF(B4="","",(15-(IF('Outcome contract'!C4="",1,0)+IF('Outcome contract'!E4="",1,0)+IF('Outcome contract'!F4="",1,0)+IF('Outcome contract'!G4="",1,0)+IF('Outcome contract'!H4="",1,0)+IF('Outcome contract'!I4="",1,0)+COUNTBLANK('Outcome contract'!M4)+COUNTBLANK('Outcome contract'!N4)+COUNTBLANK('Outcome contract'!O4)+COUNTBLANK('Outcome contract'!P4)+IF('Outcome contract'!S4="",1,0)+IF('Eight questions'!J4="",1,0)+IF('Eight questions'!M4="",1,0)+IF('Eight questions'!O4="",1,0)+IF('Eight questions'!C4="",1,0)))/15)</f>
      </c>
    </row>
    <row r="5" ht="30" customHeight="1" spans="1:14" x14ac:dyDescent="0.25">
      <c r="A5" s="20">
        <f>IF(Register!A5="","",Register!A5)</f>
      </c>
      <c r="B5" s="20">
        <f>IF(Register!C5="","",Register!C5)</f>
      </c>
      <c r="C5" s="20">
        <f>IF(OR(IF(Register!U5="",Register!T5,Register!U5)="",'Eight questions'!F5="",'Eight questions'!J5="",'Eight questions'!L5="",'Eight questions'!M5="",'Eight questions'!O5=""),"",IF(AND(IF(Register!U5="",Register!T5,Register!U5)&lt;&gt;"Agent",VALUE(LEFT('Eight questions'!F5,1))&lt;=2,'Eight questions'!O5="Read only",OR('Eight questions'!J5="Public",'Eight questions'!J5="Internal"),OR('Eight questions'!L5="Nothing",'Eight questions'!L5="Static documents"),'Eight questions'!M5="Yes, in production"),"Quick win","No"))</f>
      </c>
      <c r="D5" s="20">
        <f>IF(C5&lt;&gt;"No","",IF(IF(Register!U5="",Register!T5,Register!U5)="Agent","It is an agent",IF(VALUE(LEFT('Eight questions'!F5,1))&gt;2,"Reach is tier 3 or above",IF('Eight questions'!O5&lt;&gt;"Read only","It is not read only - "&amp;'Eight questions'!O5,IF(OR('Eight questions'!J5="Confidential",'Eight questions'!J5="Regulated"),"Data class is "&amp;'Eight questions'!J5,IF(OR('Eight questions'!L5="Live system state",'Eight questions'!L5="Take an action",'Eight questions'!L5="Analytical data"),"The source is not static - "&amp;'Eight questions'!L5,IF('Eight questions'!M5&lt;&gt;"Yes, in production","The connection does not exist in production","")))))))</f>
      </c>
      <c r="E5" s="20">
        <f>IF('Assurance and gate'!K5="","",'Assurance and gate'!K5)</f>
      </c>
      <c r="F5" s="20">
        <f>IF('Eight questions'!M5="","",IF('Eight questions'!M5="No","Yes - programme work, not a quick win","No"))</f>
      </c>
      <c r="G5" s="20">
        <f>IF(IF('Technology direction'!D5="",'Technology direction'!C5,'Technology direction'!D5)="","",IF('Technology direction'!D5="",'Technology direction'!C5,'Technology direction'!D5)&amp;IF('Technology direction'!H5=""," "," - "&amp;'Technology direction'!H5)&amp;IF('Eight questions'!J5="Regulated"," - constrained by regulated data: a stated data location and private networking",IF('Eight questions'!J5="Confidential"," - constrained by confidential data: an explicit DLP policy and a named retention period","")))</f>
      </c>
      <c r="H5" s="20">
        <f>IF(IF('Technology direction'!D5="",'Technology direction'!C5,'Technology direction'!D5)="","",IF(IF('Technology direction'!D5="",'Technology direction'!C5,'Technology direction'!D5)="1 Not AI","Automation or data platform team",IF(IF('Technology direction'!D5="",'Technology direction'!C5,'Technology direction'!D5)="2 Ready-made","Workload team plus a Microsoft 365 administrator",IF(IF('Technology direction'!D5="",'Technology direction'!C5,'Technology direction'!D5)="3 Low-code","Workload team, a Copilot Studio maker, and the Platform team for connectors and DLP","Platform team, pro-code engineers, AI security and evaluation")))&amp;IF('Assurance and gate'!J5&gt;=3," - plus AI Centre of Excellence review",""))</f>
      </c>
      <c r="I5" s="20">
        <f>IF(IF('Technology direction'!D5="",'Technology direction'!C5,'Technology direction'!D5)="","",IF(IF('Technology direction'!D5="",'Technology direction'!C5,'Technology direction'!D5)="1 Not AI","Configuration: days to weeks",IF(IF('Technology direction'!D5="",'Technology direction'!C5,'Technology direction'!D5)="2 Ready-made","Configure and adopt: one to three weeks",IF(IF('Technology direction'!D5="",'Technology direction'!C5,'Technology direction'!D5)="3 Low-code","Low-code build: three to eight weeks",IF(IF('Technology direction'!D5="",'Technology direction'!C5,'Technology direction'!D5)="4 Pro-code","Pro-code build: two to six months","Platform build: six months or more"))))&amp;IF('Eight questions'!M5="No"," - integration-led, and the integration conversation comes first",""))</f>
      </c>
      <c r="J5" s="20">
        <f>IF('Assurance and gate'!J5="","",IF('Assurance and gate'!J5=1,"Standard guardrails only",IF('Assurance and gate'!J5=2,"Named owner spot-checks, plus platform monitoring",IF('Assurance and gate'!J5=3,"Measured pilot, scheduled re-evaluation and a decision gate","A staffed human control that recurs every time the process runs, monitoring, scheduled evaluation and a route to a person")))&amp;" - plus licences, credits and the monthly consumption review")</f>
      </c>
      <c r="K5" s="20">
        <f>IF(OR('Eight questions'!L5="",'Eight questions'!M5=""),"",IF('Eight questions'!M5="No","Months - integration-led",IF(OR('Eight questions'!L5="Live system state",'Eight questions'!L5="Take an action"),"Months",IF('Eight questions'!L5="Analytical data","Weeks to months",IF('Assurance and gate'!J5=4,"Weeks, plus a full assurance cycle","Weeks")))))</f>
      </c>
      <c r="L5" s="20">
        <f>IF(IF('Technology direction'!D5="",'Technology direction'!C5,'Technology direction'!D5)="","",IF(IF('Technology direction'!D5="",'Technology direction'!C5,'Technology direction'!D5)="1 Not AI","Automation or Fabric guidance",IF(IF('Technology direction'!D5="",'Technology direction'!C5,'Technology direction'!D5)="2 Ready-made","Ready-made agent enablement and an adoption workshop",IF(IF('Technology direction'!D5="",'Technology direction'!C5,'Technology direction'!D5)="3 Low-code","Copilot Studio enablement, plus a partner for connectors","An architecture design session, plus a partner for the build")))&amp;IF('Assurance and gate'!J5=4," - plus a responsible AI review",""))</f>
      </c>
      <c r="M5" s="20">
        <f>IF(B5="","",IF('Outcome contract'!C5="","The result, stated as an outcome with a number. ","")&amp;IF('Outcome contract'!E5="","Baseline today. ","")&amp;IF('Outcome contract'!F5="","Target. ","")&amp;IF('Outcome contract'!G5="","Owner for the build. ","")&amp;IF('Outcome contract'!H5="","Owner after go-live. ","")&amp;IF('Outcome contract'!I5="","The boundary: what it will refuse to do. ","")&amp;IF(COUNTBLANK('Outcome contract'!M5)&gt;0,"V1 how many people do this work today. ","")&amp;IF(COUNTBLANK('Outcome contract'!N5)&gt;0,"V2 how often it happens. ","")&amp;IF(COUNTBLANK('Outcome contract'!O5)&gt;0,"V3 how long it takes each time. ","")&amp;IF(COUNTBLANK('Outcome contract'!P5)&gt;0,"V4 how often it goes wrong and what that costs. ","")&amp;IF('Outcome contract'!S5="","V6 what happens to the time saved. ","")&amp;IF('Eight questions'!J5="","Data classification. ","")&amp;IF('Eight questions'!M5="","Whether the connection already exists. ","")&amp;IF('Eight questions'!O5="","What a wrong answer costs. ","")&amp;IF(AND('Eight questions'!J5="Regulated",'Eight questions'!I5=""),"Consent and residency position. ",""))</f>
      </c>
      <c r="N5" s="21">
        <f>IF(B5="","",(15-(IF('Outcome contract'!C5="",1,0)+IF('Outcome contract'!E5="",1,0)+IF('Outcome contract'!F5="",1,0)+IF('Outcome contract'!G5="",1,0)+IF('Outcome contract'!H5="",1,0)+IF('Outcome contract'!I5="",1,0)+COUNTBLANK('Outcome contract'!M5)+COUNTBLANK('Outcome contract'!N5)+COUNTBLANK('Outcome contract'!O5)+COUNTBLANK('Outcome contract'!P5)+IF('Outcome contract'!S5="",1,0)+IF('Eight questions'!J5="",1,0)+IF('Eight questions'!M5="",1,0)+IF('Eight questions'!O5="",1,0)+IF('Eight questions'!C5="",1,0)))/15)</f>
      </c>
    </row>
    <row r="6" ht="30" customHeight="1" spans="1:14" x14ac:dyDescent="0.25">
      <c r="A6" s="20">
        <f>IF(Register!A6="","",Register!A6)</f>
      </c>
      <c r="B6" s="20">
        <f>IF(Register!C6="","",Register!C6)</f>
      </c>
      <c r="C6" s="20">
        <f>IF(OR(IF(Register!U6="",Register!T6,Register!U6)="",'Eight questions'!F6="",'Eight questions'!J6="",'Eight questions'!L6="",'Eight questions'!M6="",'Eight questions'!O6=""),"",IF(AND(IF(Register!U6="",Register!T6,Register!U6)&lt;&gt;"Agent",VALUE(LEFT('Eight questions'!F6,1))&lt;=2,'Eight questions'!O6="Read only",OR('Eight questions'!J6="Public",'Eight questions'!J6="Internal"),OR('Eight questions'!L6="Nothing",'Eight questions'!L6="Static documents"),'Eight questions'!M6="Yes, in production"),"Quick win","No"))</f>
      </c>
      <c r="D6" s="20">
        <f>IF(C6&lt;&gt;"No","",IF(IF(Register!U6="",Register!T6,Register!U6)="Agent","It is an agent",IF(VALUE(LEFT('Eight questions'!F6,1))&gt;2,"Reach is tier 3 or above",IF('Eight questions'!O6&lt;&gt;"Read only","It is not read only - "&amp;'Eight questions'!O6,IF(OR('Eight questions'!J6="Confidential",'Eight questions'!J6="Regulated"),"Data class is "&amp;'Eight questions'!J6,IF(OR('Eight questions'!L6="Live system state",'Eight questions'!L6="Take an action",'Eight questions'!L6="Analytical data"),"The source is not static - "&amp;'Eight questions'!L6,IF('Eight questions'!M6&lt;&gt;"Yes, in production","The connection does not exist in production","")))))))</f>
      </c>
      <c r="E6" s="20">
        <f>IF('Assurance and gate'!K6="","",'Assurance and gate'!K6)</f>
      </c>
      <c r="F6" s="20">
        <f>IF('Eight questions'!M6="","",IF('Eight questions'!M6="No","Yes - programme work, not a quick win","No"))</f>
      </c>
      <c r="G6" s="20">
        <f>IF(IF('Technology direction'!D6="",'Technology direction'!C6,'Technology direction'!D6)="","",IF('Technology direction'!D6="",'Technology direction'!C6,'Technology direction'!D6)&amp;IF('Technology direction'!H6=""," "," - "&amp;'Technology direction'!H6)&amp;IF('Eight questions'!J6="Regulated"," - constrained by regulated data: a stated data location and private networking",IF('Eight questions'!J6="Confidential"," - constrained by confidential data: an explicit DLP policy and a named retention period","")))</f>
      </c>
      <c r="H6" s="20">
        <f>IF(IF('Technology direction'!D6="",'Technology direction'!C6,'Technology direction'!D6)="","",IF(IF('Technology direction'!D6="",'Technology direction'!C6,'Technology direction'!D6)="1 Not AI","Automation or data platform team",IF(IF('Technology direction'!D6="",'Technology direction'!C6,'Technology direction'!D6)="2 Ready-made","Workload team plus a Microsoft 365 administrator",IF(IF('Technology direction'!D6="",'Technology direction'!C6,'Technology direction'!D6)="3 Low-code","Workload team, a Copilot Studio maker, and the Platform team for connectors and DLP","Platform team, pro-code engineers, AI security and evaluation")))&amp;IF('Assurance and gate'!J6&gt;=3," - plus AI Centre of Excellence review",""))</f>
      </c>
      <c r="I6" s="20">
        <f>IF(IF('Technology direction'!D6="",'Technology direction'!C6,'Technology direction'!D6)="","",IF(IF('Technology direction'!D6="",'Technology direction'!C6,'Technology direction'!D6)="1 Not AI","Configuration: days to weeks",IF(IF('Technology direction'!D6="",'Technology direction'!C6,'Technology direction'!D6)="2 Ready-made","Configure and adopt: one to three weeks",IF(IF('Technology direction'!D6="",'Technology direction'!C6,'Technology direction'!D6)="3 Low-code","Low-code build: three to eight weeks",IF(IF('Technology direction'!D6="",'Technology direction'!C6,'Technology direction'!D6)="4 Pro-code","Pro-code build: two to six months","Platform build: six months or more"))))&amp;IF('Eight questions'!M6="No"," - integration-led, and the integration conversation comes first",""))</f>
      </c>
      <c r="J6" s="20">
        <f>IF('Assurance and gate'!J6="","",IF('Assurance and gate'!J6=1,"Standard guardrails only",IF('Assurance and gate'!J6=2,"Named owner spot-checks, plus platform monitoring",IF('Assurance and gate'!J6=3,"Measured pilot, scheduled re-evaluation and a decision gate","A staffed human control that recurs every time the process runs, monitoring, scheduled evaluation and a route to a person")))&amp;" - plus licences, credits and the monthly consumption review")</f>
      </c>
      <c r="K6" s="20">
        <f>IF(OR('Eight questions'!L6="",'Eight questions'!M6=""),"",IF('Eight questions'!M6="No","Months - integration-led",IF(OR('Eight questions'!L6="Live system state",'Eight questions'!L6="Take an action"),"Months",IF('Eight questions'!L6="Analytical data","Weeks to months",IF('Assurance and gate'!J6=4,"Weeks, plus a full assurance cycle","Weeks")))))</f>
      </c>
      <c r="L6" s="20">
        <f>IF(IF('Technology direction'!D6="",'Technology direction'!C6,'Technology direction'!D6)="","",IF(IF('Technology direction'!D6="",'Technology direction'!C6,'Technology direction'!D6)="1 Not AI","Automation or Fabric guidance",IF(IF('Technology direction'!D6="",'Technology direction'!C6,'Technology direction'!D6)="2 Ready-made","Ready-made agent enablement and an adoption workshop",IF(IF('Technology direction'!D6="",'Technology direction'!C6,'Technology direction'!D6)="3 Low-code","Copilot Studio enablement, plus a partner for connectors","An architecture design session, plus a partner for the build")))&amp;IF('Assurance and gate'!J6=4," - plus a responsible AI review",""))</f>
      </c>
      <c r="M6" s="20">
        <f>IF(B6="","",IF('Outcome contract'!C6="","The result, stated as an outcome with a number. ","")&amp;IF('Outcome contract'!E6="","Baseline today. ","")&amp;IF('Outcome contract'!F6="","Target. ","")&amp;IF('Outcome contract'!G6="","Owner for the build. ","")&amp;IF('Outcome contract'!H6="","Owner after go-live. ","")&amp;IF('Outcome contract'!I6="","The boundary: what it will refuse to do. ","")&amp;IF(COUNTBLANK('Outcome contract'!M6)&gt;0,"V1 how many people do this work today. ","")&amp;IF(COUNTBLANK('Outcome contract'!N6)&gt;0,"V2 how often it happens. ","")&amp;IF(COUNTBLANK('Outcome contract'!O6)&gt;0,"V3 how long it takes each time. ","")&amp;IF(COUNTBLANK('Outcome contract'!P6)&gt;0,"V4 how often it goes wrong and what that costs. ","")&amp;IF('Outcome contract'!S6="","V6 what happens to the time saved. ","")&amp;IF('Eight questions'!J6="","Data classification. ","")&amp;IF('Eight questions'!M6="","Whether the connection already exists. ","")&amp;IF('Eight questions'!O6="","What a wrong answer costs. ","")&amp;IF(AND('Eight questions'!J6="Regulated",'Eight questions'!I6=""),"Consent and residency position. ",""))</f>
      </c>
      <c r="N6" s="21">
        <f>IF(B6="","",(15-(IF('Outcome contract'!C6="",1,0)+IF('Outcome contract'!E6="",1,0)+IF('Outcome contract'!F6="",1,0)+IF('Outcome contract'!G6="",1,0)+IF('Outcome contract'!H6="",1,0)+IF('Outcome contract'!I6="",1,0)+COUNTBLANK('Outcome contract'!M6)+COUNTBLANK('Outcome contract'!N6)+COUNTBLANK('Outcome contract'!O6)+COUNTBLANK('Outcome contract'!P6)+IF('Outcome contract'!S6="",1,0)+IF('Eight questions'!J6="",1,0)+IF('Eight questions'!M6="",1,0)+IF('Eight questions'!O6="",1,0)+IF('Eight questions'!C6="",1,0)))/15)</f>
      </c>
    </row>
    <row r="7" ht="30" customHeight="1" spans="1:14" x14ac:dyDescent="0.25">
      <c r="A7" s="20">
        <f>IF(Register!A7="","",Register!A7)</f>
      </c>
      <c r="B7" s="20">
        <f>IF(Register!C7="","",Register!C7)</f>
      </c>
      <c r="C7" s="20">
        <f>IF(OR(IF(Register!U7="",Register!T7,Register!U7)="",'Eight questions'!F7="",'Eight questions'!J7="",'Eight questions'!L7="",'Eight questions'!M7="",'Eight questions'!O7=""),"",IF(AND(IF(Register!U7="",Register!T7,Register!U7)&lt;&gt;"Agent",VALUE(LEFT('Eight questions'!F7,1))&lt;=2,'Eight questions'!O7="Read only",OR('Eight questions'!J7="Public",'Eight questions'!J7="Internal"),OR('Eight questions'!L7="Nothing",'Eight questions'!L7="Static documents"),'Eight questions'!M7="Yes, in production"),"Quick win","No"))</f>
      </c>
      <c r="D7" s="20">
        <f>IF(C7&lt;&gt;"No","",IF(IF(Register!U7="",Register!T7,Register!U7)="Agent","It is an agent",IF(VALUE(LEFT('Eight questions'!F7,1))&gt;2,"Reach is tier 3 or above",IF('Eight questions'!O7&lt;&gt;"Read only","It is not read only - "&amp;'Eight questions'!O7,IF(OR('Eight questions'!J7="Confidential",'Eight questions'!J7="Regulated"),"Data class is "&amp;'Eight questions'!J7,IF(OR('Eight questions'!L7="Live system state",'Eight questions'!L7="Take an action",'Eight questions'!L7="Analytical data"),"The source is not static - "&amp;'Eight questions'!L7,IF('Eight questions'!M7&lt;&gt;"Yes, in production","The connection does not exist in production","")))))))</f>
      </c>
      <c r="E7" s="20">
        <f>IF('Assurance and gate'!K7="","",'Assurance and gate'!K7)</f>
      </c>
      <c r="F7" s="20">
        <f>IF('Eight questions'!M7="","",IF('Eight questions'!M7="No","Yes - programme work, not a quick win","No"))</f>
      </c>
      <c r="G7" s="20">
        <f>IF(IF('Technology direction'!D7="",'Technology direction'!C7,'Technology direction'!D7)="","",IF('Technology direction'!D7="",'Technology direction'!C7,'Technology direction'!D7)&amp;IF('Technology direction'!H7=""," "," - "&amp;'Technology direction'!H7)&amp;IF('Eight questions'!J7="Regulated"," - constrained by regulated data: a stated data location and private networking",IF('Eight questions'!J7="Confidential"," - constrained by confidential data: an explicit DLP policy and a named retention period","")))</f>
      </c>
      <c r="H7" s="20">
        <f>IF(IF('Technology direction'!D7="",'Technology direction'!C7,'Technology direction'!D7)="","",IF(IF('Technology direction'!D7="",'Technology direction'!C7,'Technology direction'!D7)="1 Not AI","Automation or data platform team",IF(IF('Technology direction'!D7="",'Technology direction'!C7,'Technology direction'!D7)="2 Ready-made","Workload team plus a Microsoft 365 administrator",IF(IF('Technology direction'!D7="",'Technology direction'!C7,'Technology direction'!D7)="3 Low-code","Workload team, a Copilot Studio maker, and the Platform team for connectors and DLP","Platform team, pro-code engineers, AI security and evaluation")))&amp;IF('Assurance and gate'!J7&gt;=3," - plus AI Centre of Excellence review",""))</f>
      </c>
      <c r="I7" s="20">
        <f>IF(IF('Technology direction'!D7="",'Technology direction'!C7,'Technology direction'!D7)="","",IF(IF('Technology direction'!D7="",'Technology direction'!C7,'Technology direction'!D7)="1 Not AI","Configuration: days to weeks",IF(IF('Technology direction'!D7="",'Technology direction'!C7,'Technology direction'!D7)="2 Ready-made","Configure and adopt: one to three weeks",IF(IF('Technology direction'!D7="",'Technology direction'!C7,'Technology direction'!D7)="3 Low-code","Low-code build: three to eight weeks",IF(IF('Technology direction'!D7="",'Technology direction'!C7,'Technology direction'!D7)="4 Pro-code","Pro-code build: two to six months","Platform build: six months or more"))))&amp;IF('Eight questions'!M7="No"," - integration-led, and the integration conversation comes first",""))</f>
      </c>
      <c r="J7" s="20">
        <f>IF('Assurance and gate'!J7="","",IF('Assurance and gate'!J7=1,"Standard guardrails only",IF('Assurance and gate'!J7=2,"Named owner spot-checks, plus platform monitoring",IF('Assurance and gate'!J7=3,"Measured pilot, scheduled re-evaluation and a decision gate","A staffed human control that recurs every time the process runs, monitoring, scheduled evaluation and a route to a person")))&amp;" - plus licences, credits and the monthly consumption review")</f>
      </c>
      <c r="K7" s="20">
        <f>IF(OR('Eight questions'!L7="",'Eight questions'!M7=""),"",IF('Eight questions'!M7="No","Months - integration-led",IF(OR('Eight questions'!L7="Live system state",'Eight questions'!L7="Take an action"),"Months",IF('Eight questions'!L7="Analytical data","Weeks to months",IF('Assurance and gate'!J7=4,"Weeks, plus a full assurance cycle","Weeks")))))</f>
      </c>
      <c r="L7" s="20">
        <f>IF(IF('Technology direction'!D7="",'Technology direction'!C7,'Technology direction'!D7)="","",IF(IF('Technology direction'!D7="",'Technology direction'!C7,'Technology direction'!D7)="1 Not AI","Automation or Fabric guidance",IF(IF('Technology direction'!D7="",'Technology direction'!C7,'Technology direction'!D7)="2 Ready-made","Ready-made agent enablement and an adoption workshop",IF(IF('Technology direction'!D7="",'Technology direction'!C7,'Technology direction'!D7)="3 Low-code","Copilot Studio enablement, plus a partner for connectors","An architecture design session, plus a partner for the build")))&amp;IF('Assurance and gate'!J7=4," - plus a responsible AI review",""))</f>
      </c>
      <c r="M7" s="20">
        <f>IF(B7="","",IF('Outcome contract'!C7="","The result, stated as an outcome with a number. ","")&amp;IF('Outcome contract'!E7="","Baseline today. ","")&amp;IF('Outcome contract'!F7="","Target. ","")&amp;IF('Outcome contract'!G7="","Owner for the build. ","")&amp;IF('Outcome contract'!H7="","Owner after go-live. ","")&amp;IF('Outcome contract'!I7="","The boundary: what it will refuse to do. ","")&amp;IF(COUNTBLANK('Outcome contract'!M7)&gt;0,"V1 how many people do this work today. ","")&amp;IF(COUNTBLANK('Outcome contract'!N7)&gt;0,"V2 how often it happens. ","")&amp;IF(COUNTBLANK('Outcome contract'!O7)&gt;0,"V3 how long it takes each time. ","")&amp;IF(COUNTBLANK('Outcome contract'!P7)&gt;0,"V4 how often it goes wrong and what that costs. ","")&amp;IF('Outcome contract'!S7="","V6 what happens to the time saved. ","")&amp;IF('Eight questions'!J7="","Data classification. ","")&amp;IF('Eight questions'!M7="","Whether the connection already exists. ","")&amp;IF('Eight questions'!O7="","What a wrong answer costs. ","")&amp;IF(AND('Eight questions'!J7="Regulated",'Eight questions'!I7=""),"Consent and residency position. ",""))</f>
      </c>
      <c r="N7" s="21">
        <f>IF(B7="","",(15-(IF('Outcome contract'!C7="",1,0)+IF('Outcome contract'!E7="",1,0)+IF('Outcome contract'!F7="",1,0)+IF('Outcome contract'!G7="",1,0)+IF('Outcome contract'!H7="",1,0)+IF('Outcome contract'!I7="",1,0)+COUNTBLANK('Outcome contract'!M7)+COUNTBLANK('Outcome contract'!N7)+COUNTBLANK('Outcome contract'!O7)+COUNTBLANK('Outcome contract'!P7)+IF('Outcome contract'!S7="",1,0)+IF('Eight questions'!J7="",1,0)+IF('Eight questions'!M7="",1,0)+IF('Eight questions'!O7="",1,0)+IF('Eight questions'!C7="",1,0)))/15)</f>
      </c>
    </row>
    <row r="8" ht="30" customHeight="1" spans="1:14" x14ac:dyDescent="0.25">
      <c r="A8" s="20">
        <f>IF(Register!A8="","",Register!A8)</f>
      </c>
      <c r="B8" s="20">
        <f>IF(Register!C8="","",Register!C8)</f>
      </c>
      <c r="C8" s="20">
        <f>IF(OR(IF(Register!U8="",Register!T8,Register!U8)="",'Eight questions'!F8="",'Eight questions'!J8="",'Eight questions'!L8="",'Eight questions'!M8="",'Eight questions'!O8=""),"",IF(AND(IF(Register!U8="",Register!T8,Register!U8)&lt;&gt;"Agent",VALUE(LEFT('Eight questions'!F8,1))&lt;=2,'Eight questions'!O8="Read only",OR('Eight questions'!J8="Public",'Eight questions'!J8="Internal"),OR('Eight questions'!L8="Nothing",'Eight questions'!L8="Static documents"),'Eight questions'!M8="Yes, in production"),"Quick win","No"))</f>
      </c>
      <c r="D8" s="20">
        <f>IF(C8&lt;&gt;"No","",IF(IF(Register!U8="",Register!T8,Register!U8)="Agent","It is an agent",IF(VALUE(LEFT('Eight questions'!F8,1))&gt;2,"Reach is tier 3 or above",IF('Eight questions'!O8&lt;&gt;"Read only","It is not read only - "&amp;'Eight questions'!O8,IF(OR('Eight questions'!J8="Confidential",'Eight questions'!J8="Regulated"),"Data class is "&amp;'Eight questions'!J8,IF(OR('Eight questions'!L8="Live system state",'Eight questions'!L8="Take an action",'Eight questions'!L8="Analytical data"),"The source is not static - "&amp;'Eight questions'!L8,IF('Eight questions'!M8&lt;&gt;"Yes, in production","The connection does not exist in production","")))))))</f>
      </c>
      <c r="E8" s="20">
        <f>IF('Assurance and gate'!K8="","",'Assurance and gate'!K8)</f>
      </c>
      <c r="F8" s="20">
        <f>IF('Eight questions'!M8="","",IF('Eight questions'!M8="No","Yes - programme work, not a quick win","No"))</f>
      </c>
      <c r="G8" s="20">
        <f>IF(IF('Technology direction'!D8="",'Technology direction'!C8,'Technology direction'!D8)="","",IF('Technology direction'!D8="",'Technology direction'!C8,'Technology direction'!D8)&amp;IF('Technology direction'!H8=""," "," - "&amp;'Technology direction'!H8)&amp;IF('Eight questions'!J8="Regulated"," - constrained by regulated data: a stated data location and private networking",IF('Eight questions'!J8="Confidential"," - constrained by confidential data: an explicit DLP policy and a named retention period","")))</f>
      </c>
      <c r="H8" s="20">
        <f>IF(IF('Technology direction'!D8="",'Technology direction'!C8,'Technology direction'!D8)="","",IF(IF('Technology direction'!D8="",'Technology direction'!C8,'Technology direction'!D8)="1 Not AI","Automation or data platform team",IF(IF('Technology direction'!D8="",'Technology direction'!C8,'Technology direction'!D8)="2 Ready-made","Workload team plus a Microsoft 365 administrator",IF(IF('Technology direction'!D8="",'Technology direction'!C8,'Technology direction'!D8)="3 Low-code","Workload team, a Copilot Studio maker, and the Platform team for connectors and DLP","Platform team, pro-code engineers, AI security and evaluation")))&amp;IF('Assurance and gate'!J8&gt;=3," - plus AI Centre of Excellence review",""))</f>
      </c>
      <c r="I8" s="20">
        <f>IF(IF('Technology direction'!D8="",'Technology direction'!C8,'Technology direction'!D8)="","",IF(IF('Technology direction'!D8="",'Technology direction'!C8,'Technology direction'!D8)="1 Not AI","Configuration: days to weeks",IF(IF('Technology direction'!D8="",'Technology direction'!C8,'Technology direction'!D8)="2 Ready-made","Configure and adopt: one to three weeks",IF(IF('Technology direction'!D8="",'Technology direction'!C8,'Technology direction'!D8)="3 Low-code","Low-code build: three to eight weeks",IF(IF('Technology direction'!D8="",'Technology direction'!C8,'Technology direction'!D8)="4 Pro-code","Pro-code build: two to six months","Platform build: six months or more"))))&amp;IF('Eight questions'!M8="No"," - integration-led, and the integration conversation comes first",""))</f>
      </c>
      <c r="J8" s="20">
        <f>IF('Assurance and gate'!J8="","",IF('Assurance and gate'!J8=1,"Standard guardrails only",IF('Assurance and gate'!J8=2,"Named owner spot-checks, plus platform monitoring",IF('Assurance and gate'!J8=3,"Measured pilot, scheduled re-evaluation and a decision gate","A staffed human control that recurs every time the process runs, monitoring, scheduled evaluation and a route to a person")))&amp;" - plus licences, credits and the monthly consumption review")</f>
      </c>
      <c r="K8" s="20">
        <f>IF(OR('Eight questions'!L8="",'Eight questions'!M8=""),"",IF('Eight questions'!M8="No","Months - integration-led",IF(OR('Eight questions'!L8="Live system state",'Eight questions'!L8="Take an action"),"Months",IF('Eight questions'!L8="Analytical data","Weeks to months",IF('Assurance and gate'!J8=4,"Weeks, plus a full assurance cycle","Weeks")))))</f>
      </c>
      <c r="L8" s="20">
        <f>IF(IF('Technology direction'!D8="",'Technology direction'!C8,'Technology direction'!D8)="","",IF(IF('Technology direction'!D8="",'Technology direction'!C8,'Technology direction'!D8)="1 Not AI","Automation or Fabric guidance",IF(IF('Technology direction'!D8="",'Technology direction'!C8,'Technology direction'!D8)="2 Ready-made","Ready-made agent enablement and an adoption workshop",IF(IF('Technology direction'!D8="",'Technology direction'!C8,'Technology direction'!D8)="3 Low-code","Copilot Studio enablement, plus a partner for connectors","An architecture design session, plus a partner for the build")))&amp;IF('Assurance and gate'!J8=4," - plus a responsible AI review",""))</f>
      </c>
      <c r="M8" s="20">
        <f>IF(B8="","",IF('Outcome contract'!C8="","The result, stated as an outcome with a number. ","")&amp;IF('Outcome contract'!E8="","Baseline today. ","")&amp;IF('Outcome contract'!F8="","Target. ","")&amp;IF('Outcome contract'!G8="","Owner for the build. ","")&amp;IF('Outcome contract'!H8="","Owner after go-live. ","")&amp;IF('Outcome contract'!I8="","The boundary: what it will refuse to do. ","")&amp;IF(COUNTBLANK('Outcome contract'!M8)&gt;0,"V1 how many people do this work today. ","")&amp;IF(COUNTBLANK('Outcome contract'!N8)&gt;0,"V2 how often it happens. ","")&amp;IF(COUNTBLANK('Outcome contract'!O8)&gt;0,"V3 how long it takes each time. ","")&amp;IF(COUNTBLANK('Outcome contract'!P8)&gt;0,"V4 how often it goes wrong and what that costs. ","")&amp;IF('Outcome contract'!S8="","V6 what happens to the time saved. ","")&amp;IF('Eight questions'!J8="","Data classification. ","")&amp;IF('Eight questions'!M8="","Whether the connection already exists. ","")&amp;IF('Eight questions'!O8="","What a wrong answer costs. ","")&amp;IF(AND('Eight questions'!J8="Regulated",'Eight questions'!I8=""),"Consent and residency position. ",""))</f>
      </c>
      <c r="N8" s="21">
        <f>IF(B8="","",(15-(IF('Outcome contract'!C8="",1,0)+IF('Outcome contract'!E8="",1,0)+IF('Outcome contract'!F8="",1,0)+IF('Outcome contract'!G8="",1,0)+IF('Outcome contract'!H8="",1,0)+IF('Outcome contract'!I8="",1,0)+COUNTBLANK('Outcome contract'!M8)+COUNTBLANK('Outcome contract'!N8)+COUNTBLANK('Outcome contract'!O8)+COUNTBLANK('Outcome contract'!P8)+IF('Outcome contract'!S8="",1,0)+IF('Eight questions'!J8="",1,0)+IF('Eight questions'!M8="",1,0)+IF('Eight questions'!O8="",1,0)+IF('Eight questions'!C8="",1,0)))/15)</f>
      </c>
    </row>
    <row r="9" ht="30" customHeight="1" spans="1:14" x14ac:dyDescent="0.25">
      <c r="A9" s="20">
        <f>IF(Register!A9="","",Register!A9)</f>
      </c>
      <c r="B9" s="20">
        <f>IF(Register!C9="","",Register!C9)</f>
      </c>
      <c r="C9" s="20">
        <f>IF(OR(IF(Register!U9="",Register!T9,Register!U9)="",'Eight questions'!F9="",'Eight questions'!J9="",'Eight questions'!L9="",'Eight questions'!M9="",'Eight questions'!O9=""),"",IF(AND(IF(Register!U9="",Register!T9,Register!U9)&lt;&gt;"Agent",VALUE(LEFT('Eight questions'!F9,1))&lt;=2,'Eight questions'!O9="Read only",OR('Eight questions'!J9="Public",'Eight questions'!J9="Internal"),OR('Eight questions'!L9="Nothing",'Eight questions'!L9="Static documents"),'Eight questions'!M9="Yes, in production"),"Quick win","No"))</f>
      </c>
      <c r="D9" s="20">
        <f>IF(C9&lt;&gt;"No","",IF(IF(Register!U9="",Register!T9,Register!U9)="Agent","It is an agent",IF(VALUE(LEFT('Eight questions'!F9,1))&gt;2,"Reach is tier 3 or above",IF('Eight questions'!O9&lt;&gt;"Read only","It is not read only - "&amp;'Eight questions'!O9,IF(OR('Eight questions'!J9="Confidential",'Eight questions'!J9="Regulated"),"Data class is "&amp;'Eight questions'!J9,IF(OR('Eight questions'!L9="Live system state",'Eight questions'!L9="Take an action",'Eight questions'!L9="Analytical data"),"The source is not static - "&amp;'Eight questions'!L9,IF('Eight questions'!M9&lt;&gt;"Yes, in production","The connection does not exist in production","")))))))</f>
      </c>
      <c r="E9" s="20">
        <f>IF('Assurance and gate'!K9="","",'Assurance and gate'!K9)</f>
      </c>
      <c r="F9" s="20">
        <f>IF('Eight questions'!M9="","",IF('Eight questions'!M9="No","Yes - programme work, not a quick win","No"))</f>
      </c>
      <c r="G9" s="20">
        <f>IF(IF('Technology direction'!D9="",'Technology direction'!C9,'Technology direction'!D9)="","",IF('Technology direction'!D9="",'Technology direction'!C9,'Technology direction'!D9)&amp;IF('Technology direction'!H9=""," "," - "&amp;'Technology direction'!H9)&amp;IF('Eight questions'!J9="Regulated"," - constrained by regulated data: a stated data location and private networking",IF('Eight questions'!J9="Confidential"," - constrained by confidential data: an explicit DLP policy and a named retention period","")))</f>
      </c>
      <c r="H9" s="20">
        <f>IF(IF('Technology direction'!D9="",'Technology direction'!C9,'Technology direction'!D9)="","",IF(IF('Technology direction'!D9="",'Technology direction'!C9,'Technology direction'!D9)="1 Not AI","Automation or data platform team",IF(IF('Technology direction'!D9="",'Technology direction'!C9,'Technology direction'!D9)="2 Ready-made","Workload team plus a Microsoft 365 administrator",IF(IF('Technology direction'!D9="",'Technology direction'!C9,'Technology direction'!D9)="3 Low-code","Workload team, a Copilot Studio maker, and the Platform team for connectors and DLP","Platform team, pro-code engineers, AI security and evaluation")))&amp;IF('Assurance and gate'!J9&gt;=3," - plus AI Centre of Excellence review",""))</f>
      </c>
      <c r="I9" s="20">
        <f>IF(IF('Technology direction'!D9="",'Technology direction'!C9,'Technology direction'!D9)="","",IF(IF('Technology direction'!D9="",'Technology direction'!C9,'Technology direction'!D9)="1 Not AI","Configuration: days to weeks",IF(IF('Technology direction'!D9="",'Technology direction'!C9,'Technology direction'!D9)="2 Ready-made","Configure and adopt: one to three weeks",IF(IF('Technology direction'!D9="",'Technology direction'!C9,'Technology direction'!D9)="3 Low-code","Low-code build: three to eight weeks",IF(IF('Technology direction'!D9="",'Technology direction'!C9,'Technology direction'!D9)="4 Pro-code","Pro-code build: two to six months","Platform build: six months or more"))))&amp;IF('Eight questions'!M9="No"," - integration-led, and the integration conversation comes first",""))</f>
      </c>
      <c r="J9" s="20">
        <f>IF('Assurance and gate'!J9="","",IF('Assurance and gate'!J9=1,"Standard guardrails only",IF('Assurance and gate'!J9=2,"Named owner spot-checks, plus platform monitoring",IF('Assurance and gate'!J9=3,"Measured pilot, scheduled re-evaluation and a decision gate","A staffed human control that recurs every time the process runs, monitoring, scheduled evaluation and a route to a person")))&amp;" - plus licences, credits and the monthly consumption review")</f>
      </c>
      <c r="K9" s="20">
        <f>IF(OR('Eight questions'!L9="",'Eight questions'!M9=""),"",IF('Eight questions'!M9="No","Months - integration-led",IF(OR('Eight questions'!L9="Live system state",'Eight questions'!L9="Take an action"),"Months",IF('Eight questions'!L9="Analytical data","Weeks to months",IF('Assurance and gate'!J9=4,"Weeks, plus a full assurance cycle","Weeks")))))</f>
      </c>
      <c r="L9" s="20">
        <f>IF(IF('Technology direction'!D9="",'Technology direction'!C9,'Technology direction'!D9)="","",IF(IF('Technology direction'!D9="",'Technology direction'!C9,'Technology direction'!D9)="1 Not AI","Automation or Fabric guidance",IF(IF('Technology direction'!D9="",'Technology direction'!C9,'Technology direction'!D9)="2 Ready-made","Ready-made agent enablement and an adoption workshop",IF(IF('Technology direction'!D9="",'Technology direction'!C9,'Technology direction'!D9)="3 Low-code","Copilot Studio enablement, plus a partner for connectors","An architecture design session, plus a partner for the build")))&amp;IF('Assurance and gate'!J9=4," - plus a responsible AI review",""))</f>
      </c>
      <c r="M9" s="20">
        <f>IF(B9="","",IF('Outcome contract'!C9="","The result, stated as an outcome with a number. ","")&amp;IF('Outcome contract'!E9="","Baseline today. ","")&amp;IF('Outcome contract'!F9="","Target. ","")&amp;IF('Outcome contract'!G9="","Owner for the build. ","")&amp;IF('Outcome contract'!H9="","Owner after go-live. ","")&amp;IF('Outcome contract'!I9="","The boundary: what it will refuse to do. ","")&amp;IF(COUNTBLANK('Outcome contract'!M9)&gt;0,"V1 how many people do this work today. ","")&amp;IF(COUNTBLANK('Outcome contract'!N9)&gt;0,"V2 how often it happens. ","")&amp;IF(COUNTBLANK('Outcome contract'!O9)&gt;0,"V3 how long it takes each time. ","")&amp;IF(COUNTBLANK('Outcome contract'!P9)&gt;0,"V4 how often it goes wrong and what that costs. ","")&amp;IF('Outcome contract'!S9="","V6 what happens to the time saved. ","")&amp;IF('Eight questions'!J9="","Data classification. ","")&amp;IF('Eight questions'!M9="","Whether the connection already exists. ","")&amp;IF('Eight questions'!O9="","What a wrong answer costs. ","")&amp;IF(AND('Eight questions'!J9="Regulated",'Eight questions'!I9=""),"Consent and residency position. ",""))</f>
      </c>
      <c r="N9" s="21">
        <f>IF(B9="","",(15-(IF('Outcome contract'!C9="",1,0)+IF('Outcome contract'!E9="",1,0)+IF('Outcome contract'!F9="",1,0)+IF('Outcome contract'!G9="",1,0)+IF('Outcome contract'!H9="",1,0)+IF('Outcome contract'!I9="",1,0)+COUNTBLANK('Outcome contract'!M9)+COUNTBLANK('Outcome contract'!N9)+COUNTBLANK('Outcome contract'!O9)+COUNTBLANK('Outcome contract'!P9)+IF('Outcome contract'!S9="",1,0)+IF('Eight questions'!J9="",1,0)+IF('Eight questions'!M9="",1,0)+IF('Eight questions'!O9="",1,0)+IF('Eight questions'!C9="",1,0)))/15)</f>
      </c>
    </row>
    <row r="10" ht="30" customHeight="1" spans="1:14" x14ac:dyDescent="0.25">
      <c r="A10" s="20">
        <f>IF(Register!A10="","",Register!A10)</f>
      </c>
      <c r="B10" s="20">
        <f>IF(Register!C10="","",Register!C10)</f>
      </c>
      <c r="C10" s="20">
        <f>IF(OR(IF(Register!U10="",Register!T10,Register!U10)="",'Eight questions'!F10="",'Eight questions'!J10="",'Eight questions'!L10="",'Eight questions'!M10="",'Eight questions'!O10=""),"",IF(AND(IF(Register!U10="",Register!T10,Register!U10)&lt;&gt;"Agent",VALUE(LEFT('Eight questions'!F10,1))&lt;=2,'Eight questions'!O10="Read only",OR('Eight questions'!J10="Public",'Eight questions'!J10="Internal"),OR('Eight questions'!L10="Nothing",'Eight questions'!L10="Static documents"),'Eight questions'!M10="Yes, in production"),"Quick win","No"))</f>
      </c>
      <c r="D10" s="20">
        <f>IF(C10&lt;&gt;"No","",IF(IF(Register!U10="",Register!T10,Register!U10)="Agent","It is an agent",IF(VALUE(LEFT('Eight questions'!F10,1))&gt;2,"Reach is tier 3 or above",IF('Eight questions'!O10&lt;&gt;"Read only","It is not read only - "&amp;'Eight questions'!O10,IF(OR('Eight questions'!J10="Confidential",'Eight questions'!J10="Regulated"),"Data class is "&amp;'Eight questions'!J10,IF(OR('Eight questions'!L10="Live system state",'Eight questions'!L10="Take an action",'Eight questions'!L10="Analytical data"),"The source is not static - "&amp;'Eight questions'!L10,IF('Eight questions'!M10&lt;&gt;"Yes, in production","The connection does not exist in production","")))))))</f>
      </c>
      <c r="E10" s="20">
        <f>IF('Assurance and gate'!K10="","",'Assurance and gate'!K10)</f>
      </c>
      <c r="F10" s="20">
        <f>IF('Eight questions'!M10="","",IF('Eight questions'!M10="No","Yes - programme work, not a quick win","No"))</f>
      </c>
      <c r="G10" s="20">
        <f>IF(IF('Technology direction'!D10="",'Technology direction'!C10,'Technology direction'!D10)="","",IF('Technology direction'!D10="",'Technology direction'!C10,'Technology direction'!D10)&amp;IF('Technology direction'!H10=""," "," - "&amp;'Technology direction'!H10)&amp;IF('Eight questions'!J10="Regulated"," - constrained by regulated data: a stated data location and private networking",IF('Eight questions'!J10="Confidential"," - constrained by confidential data: an explicit DLP policy and a named retention period","")))</f>
      </c>
      <c r="H10" s="20">
        <f>IF(IF('Technology direction'!D10="",'Technology direction'!C10,'Technology direction'!D10)="","",IF(IF('Technology direction'!D10="",'Technology direction'!C10,'Technology direction'!D10)="1 Not AI","Automation or data platform team",IF(IF('Technology direction'!D10="",'Technology direction'!C10,'Technology direction'!D10)="2 Ready-made","Workload team plus a Microsoft 365 administrator",IF(IF('Technology direction'!D10="",'Technology direction'!C10,'Technology direction'!D10)="3 Low-code","Workload team, a Copilot Studio maker, and the Platform team for connectors and DLP","Platform team, pro-code engineers, AI security and evaluation")))&amp;IF('Assurance and gate'!J10&gt;=3," - plus AI Centre of Excellence review",""))</f>
      </c>
      <c r="I10" s="20">
        <f>IF(IF('Technology direction'!D10="",'Technology direction'!C10,'Technology direction'!D10)="","",IF(IF('Technology direction'!D10="",'Technology direction'!C10,'Technology direction'!D10)="1 Not AI","Configuration: days to weeks",IF(IF('Technology direction'!D10="",'Technology direction'!C10,'Technology direction'!D10)="2 Ready-made","Configure and adopt: one to three weeks",IF(IF('Technology direction'!D10="",'Technology direction'!C10,'Technology direction'!D10)="3 Low-code","Low-code build: three to eight weeks",IF(IF('Technology direction'!D10="",'Technology direction'!C10,'Technology direction'!D10)="4 Pro-code","Pro-code build: two to six months","Platform build: six months or more"))))&amp;IF('Eight questions'!M10="No"," - integration-led, and the integration conversation comes first",""))</f>
      </c>
      <c r="J10" s="20">
        <f>IF('Assurance and gate'!J10="","",IF('Assurance and gate'!J10=1,"Standard guardrails only",IF('Assurance and gate'!J10=2,"Named owner spot-checks, plus platform monitoring",IF('Assurance and gate'!J10=3,"Measured pilot, scheduled re-evaluation and a decision gate","A staffed human control that recurs every time the process runs, monitoring, scheduled evaluation and a route to a person")))&amp;" - plus licences, credits and the monthly consumption review")</f>
      </c>
      <c r="K10" s="20">
        <f>IF(OR('Eight questions'!L10="",'Eight questions'!M10=""),"",IF('Eight questions'!M10="No","Months - integration-led",IF(OR('Eight questions'!L10="Live system state",'Eight questions'!L10="Take an action"),"Months",IF('Eight questions'!L10="Analytical data","Weeks to months",IF('Assurance and gate'!J10=4,"Weeks, plus a full assurance cycle","Weeks")))))</f>
      </c>
      <c r="L10" s="20">
        <f>IF(IF('Technology direction'!D10="",'Technology direction'!C10,'Technology direction'!D10)="","",IF(IF('Technology direction'!D10="",'Technology direction'!C10,'Technology direction'!D10)="1 Not AI","Automation or Fabric guidance",IF(IF('Technology direction'!D10="",'Technology direction'!C10,'Technology direction'!D10)="2 Ready-made","Ready-made agent enablement and an adoption workshop",IF(IF('Technology direction'!D10="",'Technology direction'!C10,'Technology direction'!D10)="3 Low-code","Copilot Studio enablement, plus a partner for connectors","An architecture design session, plus a partner for the build")))&amp;IF('Assurance and gate'!J10=4," - plus a responsible AI review",""))</f>
      </c>
      <c r="M10" s="20">
        <f>IF(B10="","",IF('Outcome contract'!C10="","The result, stated as an outcome with a number. ","")&amp;IF('Outcome contract'!E10="","Baseline today. ","")&amp;IF('Outcome contract'!F10="","Target. ","")&amp;IF('Outcome contract'!G10="","Owner for the build. ","")&amp;IF('Outcome contract'!H10="","Owner after go-live. ","")&amp;IF('Outcome contract'!I10="","The boundary: what it will refuse to do. ","")&amp;IF(COUNTBLANK('Outcome contract'!M10)&gt;0,"V1 how many people do this work today. ","")&amp;IF(COUNTBLANK('Outcome contract'!N10)&gt;0,"V2 how often it happens. ","")&amp;IF(COUNTBLANK('Outcome contract'!O10)&gt;0,"V3 how long it takes each time. ","")&amp;IF(COUNTBLANK('Outcome contract'!P10)&gt;0,"V4 how often it goes wrong and what that costs. ","")&amp;IF('Outcome contract'!S10="","V6 what happens to the time saved. ","")&amp;IF('Eight questions'!J10="","Data classification. ","")&amp;IF('Eight questions'!M10="","Whether the connection already exists. ","")&amp;IF('Eight questions'!O10="","What a wrong answer costs. ","")&amp;IF(AND('Eight questions'!J10="Regulated",'Eight questions'!I10=""),"Consent and residency position. ",""))</f>
      </c>
      <c r="N10" s="21">
        <f>IF(B10="","",(15-(IF('Outcome contract'!C10="",1,0)+IF('Outcome contract'!E10="",1,0)+IF('Outcome contract'!F10="",1,0)+IF('Outcome contract'!G10="",1,0)+IF('Outcome contract'!H10="",1,0)+IF('Outcome contract'!I10="",1,0)+COUNTBLANK('Outcome contract'!M10)+COUNTBLANK('Outcome contract'!N10)+COUNTBLANK('Outcome contract'!O10)+COUNTBLANK('Outcome contract'!P10)+IF('Outcome contract'!S10="",1,0)+IF('Eight questions'!J10="",1,0)+IF('Eight questions'!M10="",1,0)+IF('Eight questions'!O10="",1,0)+IF('Eight questions'!C10="",1,0)))/15)</f>
      </c>
    </row>
    <row r="11" ht="30" customHeight="1" spans="1:14" x14ac:dyDescent="0.25">
      <c r="A11" s="20">
        <f>IF(Register!A11="","",Register!A11)</f>
      </c>
      <c r="B11" s="20">
        <f>IF(Register!C11="","",Register!C11)</f>
      </c>
      <c r="C11" s="20">
        <f>IF(OR(IF(Register!U11="",Register!T11,Register!U11)="",'Eight questions'!F11="",'Eight questions'!J11="",'Eight questions'!L11="",'Eight questions'!M11="",'Eight questions'!O11=""),"",IF(AND(IF(Register!U11="",Register!T11,Register!U11)&lt;&gt;"Agent",VALUE(LEFT('Eight questions'!F11,1))&lt;=2,'Eight questions'!O11="Read only",OR('Eight questions'!J11="Public",'Eight questions'!J11="Internal"),OR('Eight questions'!L11="Nothing",'Eight questions'!L11="Static documents"),'Eight questions'!M11="Yes, in production"),"Quick win","No"))</f>
      </c>
      <c r="D11" s="20">
        <f>IF(C11&lt;&gt;"No","",IF(IF(Register!U11="",Register!T11,Register!U11)="Agent","It is an agent",IF(VALUE(LEFT('Eight questions'!F11,1))&gt;2,"Reach is tier 3 or above",IF('Eight questions'!O11&lt;&gt;"Read only","It is not read only - "&amp;'Eight questions'!O11,IF(OR('Eight questions'!J11="Confidential",'Eight questions'!J11="Regulated"),"Data class is "&amp;'Eight questions'!J11,IF(OR('Eight questions'!L11="Live system state",'Eight questions'!L11="Take an action",'Eight questions'!L11="Analytical data"),"The source is not static - "&amp;'Eight questions'!L11,IF('Eight questions'!M11&lt;&gt;"Yes, in production","The connection does not exist in production","")))))))</f>
      </c>
      <c r="E11" s="20">
        <f>IF('Assurance and gate'!K11="","",'Assurance and gate'!K11)</f>
      </c>
      <c r="F11" s="20">
        <f>IF('Eight questions'!M11="","",IF('Eight questions'!M11="No","Yes - programme work, not a quick win","No"))</f>
      </c>
      <c r="G11" s="20">
        <f>IF(IF('Technology direction'!D11="",'Technology direction'!C11,'Technology direction'!D11)="","",IF('Technology direction'!D11="",'Technology direction'!C11,'Technology direction'!D11)&amp;IF('Technology direction'!H11=""," "," - "&amp;'Technology direction'!H11)&amp;IF('Eight questions'!J11="Regulated"," - constrained by regulated data: a stated data location and private networking",IF('Eight questions'!J11="Confidential"," - constrained by confidential data: an explicit DLP policy and a named retention period","")))</f>
      </c>
      <c r="H11" s="20">
        <f>IF(IF('Technology direction'!D11="",'Technology direction'!C11,'Technology direction'!D11)="","",IF(IF('Technology direction'!D11="",'Technology direction'!C11,'Technology direction'!D11)="1 Not AI","Automation or data platform team",IF(IF('Technology direction'!D11="",'Technology direction'!C11,'Technology direction'!D11)="2 Ready-made","Workload team plus a Microsoft 365 administrator",IF(IF('Technology direction'!D11="",'Technology direction'!C11,'Technology direction'!D11)="3 Low-code","Workload team, a Copilot Studio maker, and the Platform team for connectors and DLP","Platform team, pro-code engineers, AI security and evaluation")))&amp;IF('Assurance and gate'!J11&gt;=3," - plus AI Centre of Excellence review",""))</f>
      </c>
      <c r="I11" s="20">
        <f>IF(IF('Technology direction'!D11="",'Technology direction'!C11,'Technology direction'!D11)="","",IF(IF('Technology direction'!D11="",'Technology direction'!C11,'Technology direction'!D11)="1 Not AI","Configuration: days to weeks",IF(IF('Technology direction'!D11="",'Technology direction'!C11,'Technology direction'!D11)="2 Ready-made","Configure and adopt: one to three weeks",IF(IF('Technology direction'!D11="",'Technology direction'!C11,'Technology direction'!D11)="3 Low-code","Low-code build: three to eight weeks",IF(IF('Technology direction'!D11="",'Technology direction'!C11,'Technology direction'!D11)="4 Pro-code","Pro-code build: two to six months","Platform build: six months or more"))))&amp;IF('Eight questions'!M11="No"," - integration-led, and the integration conversation comes first",""))</f>
      </c>
      <c r="J11" s="20">
        <f>IF('Assurance and gate'!J11="","",IF('Assurance and gate'!J11=1,"Standard guardrails only",IF('Assurance and gate'!J11=2,"Named owner spot-checks, plus platform monitoring",IF('Assurance and gate'!J11=3,"Measured pilot, scheduled re-evaluation and a decision gate","A staffed human control that recurs every time the process runs, monitoring, scheduled evaluation and a route to a person")))&amp;" - plus licences, credits and the monthly consumption review")</f>
      </c>
      <c r="K11" s="20">
        <f>IF(OR('Eight questions'!L11="",'Eight questions'!M11=""),"",IF('Eight questions'!M11="No","Months - integration-led",IF(OR('Eight questions'!L11="Live system state",'Eight questions'!L11="Take an action"),"Months",IF('Eight questions'!L11="Analytical data","Weeks to months",IF('Assurance and gate'!J11=4,"Weeks, plus a full assurance cycle","Weeks")))))</f>
      </c>
      <c r="L11" s="20">
        <f>IF(IF('Technology direction'!D11="",'Technology direction'!C11,'Technology direction'!D11)="","",IF(IF('Technology direction'!D11="",'Technology direction'!C11,'Technology direction'!D11)="1 Not AI","Automation or Fabric guidance",IF(IF('Technology direction'!D11="",'Technology direction'!C11,'Technology direction'!D11)="2 Ready-made","Ready-made agent enablement and an adoption workshop",IF(IF('Technology direction'!D11="",'Technology direction'!C11,'Technology direction'!D11)="3 Low-code","Copilot Studio enablement, plus a partner for connectors","An architecture design session, plus a partner for the build")))&amp;IF('Assurance and gate'!J11=4," - plus a responsible AI review",""))</f>
      </c>
      <c r="M11" s="20">
        <f>IF(B11="","",IF('Outcome contract'!C11="","The result, stated as an outcome with a number. ","")&amp;IF('Outcome contract'!E11="","Baseline today. ","")&amp;IF('Outcome contract'!F11="","Target. ","")&amp;IF('Outcome contract'!G11="","Owner for the build. ","")&amp;IF('Outcome contract'!H11="","Owner after go-live. ","")&amp;IF('Outcome contract'!I11="","The boundary: what it will refuse to do. ","")&amp;IF(COUNTBLANK('Outcome contract'!M11)&gt;0,"V1 how many people do this work today. ","")&amp;IF(COUNTBLANK('Outcome contract'!N11)&gt;0,"V2 how often it happens. ","")&amp;IF(COUNTBLANK('Outcome contract'!O11)&gt;0,"V3 how long it takes each time. ","")&amp;IF(COUNTBLANK('Outcome contract'!P11)&gt;0,"V4 how often it goes wrong and what that costs. ","")&amp;IF('Outcome contract'!S11="","V6 what happens to the time saved. ","")&amp;IF('Eight questions'!J11="","Data classification. ","")&amp;IF('Eight questions'!M11="","Whether the connection already exists. ","")&amp;IF('Eight questions'!O11="","What a wrong answer costs. ","")&amp;IF(AND('Eight questions'!J11="Regulated",'Eight questions'!I11=""),"Consent and residency position. ",""))</f>
      </c>
      <c r="N11" s="21">
        <f>IF(B11="","",(15-(IF('Outcome contract'!C11="",1,0)+IF('Outcome contract'!E11="",1,0)+IF('Outcome contract'!F11="",1,0)+IF('Outcome contract'!G11="",1,0)+IF('Outcome contract'!H11="",1,0)+IF('Outcome contract'!I11="",1,0)+COUNTBLANK('Outcome contract'!M11)+COUNTBLANK('Outcome contract'!N11)+COUNTBLANK('Outcome contract'!O11)+COUNTBLANK('Outcome contract'!P11)+IF('Outcome contract'!S11="",1,0)+IF('Eight questions'!J11="",1,0)+IF('Eight questions'!M11="",1,0)+IF('Eight questions'!O11="",1,0)+IF('Eight questions'!C11="",1,0)))/15)</f>
      </c>
    </row>
    <row r="12" ht="30" customHeight="1" spans="1:14" x14ac:dyDescent="0.25">
      <c r="A12" s="20">
        <f>IF(Register!A12="","",Register!A12)</f>
      </c>
      <c r="B12" s="20">
        <f>IF(Register!C12="","",Register!C12)</f>
      </c>
      <c r="C12" s="20">
        <f>IF(OR(IF(Register!U12="",Register!T12,Register!U12)="",'Eight questions'!F12="",'Eight questions'!J12="",'Eight questions'!L12="",'Eight questions'!M12="",'Eight questions'!O12=""),"",IF(AND(IF(Register!U12="",Register!T12,Register!U12)&lt;&gt;"Agent",VALUE(LEFT('Eight questions'!F12,1))&lt;=2,'Eight questions'!O12="Read only",OR('Eight questions'!J12="Public",'Eight questions'!J12="Internal"),OR('Eight questions'!L12="Nothing",'Eight questions'!L12="Static documents"),'Eight questions'!M12="Yes, in production"),"Quick win","No"))</f>
      </c>
      <c r="D12" s="20">
        <f>IF(C12&lt;&gt;"No","",IF(IF(Register!U12="",Register!T12,Register!U12)="Agent","It is an agent",IF(VALUE(LEFT('Eight questions'!F12,1))&gt;2,"Reach is tier 3 or above",IF('Eight questions'!O12&lt;&gt;"Read only","It is not read only - "&amp;'Eight questions'!O12,IF(OR('Eight questions'!J12="Confidential",'Eight questions'!J12="Regulated"),"Data class is "&amp;'Eight questions'!J12,IF(OR('Eight questions'!L12="Live system state",'Eight questions'!L12="Take an action",'Eight questions'!L12="Analytical data"),"The source is not static - "&amp;'Eight questions'!L12,IF('Eight questions'!M12&lt;&gt;"Yes, in production","The connection does not exist in production","")))))))</f>
      </c>
      <c r="E12" s="20">
        <f>IF('Assurance and gate'!K12="","",'Assurance and gate'!K12)</f>
      </c>
      <c r="F12" s="20">
        <f>IF('Eight questions'!M12="","",IF('Eight questions'!M12="No","Yes - programme work, not a quick win","No"))</f>
      </c>
      <c r="G12" s="20">
        <f>IF(IF('Technology direction'!D12="",'Technology direction'!C12,'Technology direction'!D12)="","",IF('Technology direction'!D12="",'Technology direction'!C12,'Technology direction'!D12)&amp;IF('Technology direction'!H12=""," "," - "&amp;'Technology direction'!H12)&amp;IF('Eight questions'!J12="Regulated"," - constrained by regulated data: a stated data location and private networking",IF('Eight questions'!J12="Confidential"," - constrained by confidential data: an explicit DLP policy and a named retention period","")))</f>
      </c>
      <c r="H12" s="20">
        <f>IF(IF('Technology direction'!D12="",'Technology direction'!C12,'Technology direction'!D12)="","",IF(IF('Technology direction'!D12="",'Technology direction'!C12,'Technology direction'!D12)="1 Not AI","Automation or data platform team",IF(IF('Technology direction'!D12="",'Technology direction'!C12,'Technology direction'!D12)="2 Ready-made","Workload team plus a Microsoft 365 administrator",IF(IF('Technology direction'!D12="",'Technology direction'!C12,'Technology direction'!D12)="3 Low-code","Workload team, a Copilot Studio maker, and the Platform team for connectors and DLP","Platform team, pro-code engineers, AI security and evaluation")))&amp;IF('Assurance and gate'!J12&gt;=3," - plus AI Centre of Excellence review",""))</f>
      </c>
      <c r="I12" s="20">
        <f>IF(IF('Technology direction'!D12="",'Technology direction'!C12,'Technology direction'!D12)="","",IF(IF('Technology direction'!D12="",'Technology direction'!C12,'Technology direction'!D12)="1 Not AI","Configuration: days to weeks",IF(IF('Technology direction'!D12="",'Technology direction'!C12,'Technology direction'!D12)="2 Ready-made","Configure and adopt: one to three weeks",IF(IF('Technology direction'!D12="",'Technology direction'!C12,'Technology direction'!D12)="3 Low-code","Low-code build: three to eight weeks",IF(IF('Technology direction'!D12="",'Technology direction'!C12,'Technology direction'!D12)="4 Pro-code","Pro-code build: two to six months","Platform build: six months or more"))))&amp;IF('Eight questions'!M12="No"," - integration-led, and the integration conversation comes first",""))</f>
      </c>
      <c r="J12" s="20">
        <f>IF('Assurance and gate'!J12="","",IF('Assurance and gate'!J12=1,"Standard guardrails only",IF('Assurance and gate'!J12=2,"Named owner spot-checks, plus platform monitoring",IF('Assurance and gate'!J12=3,"Measured pilot, scheduled re-evaluation and a decision gate","A staffed human control that recurs every time the process runs, monitoring, scheduled evaluation and a route to a person")))&amp;" - plus licences, credits and the monthly consumption review")</f>
      </c>
      <c r="K12" s="20">
        <f>IF(OR('Eight questions'!L12="",'Eight questions'!M12=""),"",IF('Eight questions'!M12="No","Months - integration-led",IF(OR('Eight questions'!L12="Live system state",'Eight questions'!L12="Take an action"),"Months",IF('Eight questions'!L12="Analytical data","Weeks to months",IF('Assurance and gate'!J12=4,"Weeks, plus a full assurance cycle","Weeks")))))</f>
      </c>
      <c r="L12" s="20">
        <f>IF(IF('Technology direction'!D12="",'Technology direction'!C12,'Technology direction'!D12)="","",IF(IF('Technology direction'!D12="",'Technology direction'!C12,'Technology direction'!D12)="1 Not AI","Automation or Fabric guidance",IF(IF('Technology direction'!D12="",'Technology direction'!C12,'Technology direction'!D12)="2 Ready-made","Ready-made agent enablement and an adoption workshop",IF(IF('Technology direction'!D12="",'Technology direction'!C12,'Technology direction'!D12)="3 Low-code","Copilot Studio enablement, plus a partner for connectors","An architecture design session, plus a partner for the build")))&amp;IF('Assurance and gate'!J12=4," - plus a responsible AI review",""))</f>
      </c>
      <c r="M12" s="20">
        <f>IF(B12="","",IF('Outcome contract'!C12="","The result, stated as an outcome with a number. ","")&amp;IF('Outcome contract'!E12="","Baseline today. ","")&amp;IF('Outcome contract'!F12="","Target. ","")&amp;IF('Outcome contract'!G12="","Owner for the build. ","")&amp;IF('Outcome contract'!H12="","Owner after go-live. ","")&amp;IF('Outcome contract'!I12="","The boundary: what it will refuse to do. ","")&amp;IF(COUNTBLANK('Outcome contract'!M12)&gt;0,"V1 how many people do this work today. ","")&amp;IF(COUNTBLANK('Outcome contract'!N12)&gt;0,"V2 how often it happens. ","")&amp;IF(COUNTBLANK('Outcome contract'!O12)&gt;0,"V3 how long it takes each time. ","")&amp;IF(COUNTBLANK('Outcome contract'!P12)&gt;0,"V4 how often it goes wrong and what that costs. ","")&amp;IF('Outcome contract'!S12="","V6 what happens to the time saved. ","")&amp;IF('Eight questions'!J12="","Data classification. ","")&amp;IF('Eight questions'!M12="","Whether the connection already exists. ","")&amp;IF('Eight questions'!O12="","What a wrong answer costs. ","")&amp;IF(AND('Eight questions'!J12="Regulated",'Eight questions'!I12=""),"Consent and residency position. ",""))</f>
      </c>
      <c r="N12" s="21">
        <f>IF(B12="","",(15-(IF('Outcome contract'!C12="",1,0)+IF('Outcome contract'!E12="",1,0)+IF('Outcome contract'!F12="",1,0)+IF('Outcome contract'!G12="",1,0)+IF('Outcome contract'!H12="",1,0)+IF('Outcome contract'!I12="",1,0)+COUNTBLANK('Outcome contract'!M12)+COUNTBLANK('Outcome contract'!N12)+COUNTBLANK('Outcome contract'!O12)+COUNTBLANK('Outcome contract'!P12)+IF('Outcome contract'!S12="",1,0)+IF('Eight questions'!J12="",1,0)+IF('Eight questions'!M12="",1,0)+IF('Eight questions'!O12="",1,0)+IF('Eight questions'!C12="",1,0)))/15)</f>
      </c>
    </row>
    <row r="13" ht="30" customHeight="1" spans="1:14" x14ac:dyDescent="0.25">
      <c r="A13" s="20">
        <f>IF(Register!A13="","",Register!A13)</f>
      </c>
      <c r="B13" s="20">
        <f>IF(Register!C13="","",Register!C13)</f>
      </c>
      <c r="C13" s="20">
        <f>IF(OR(IF(Register!U13="",Register!T13,Register!U13)="",'Eight questions'!F13="",'Eight questions'!J13="",'Eight questions'!L13="",'Eight questions'!M13="",'Eight questions'!O13=""),"",IF(AND(IF(Register!U13="",Register!T13,Register!U13)&lt;&gt;"Agent",VALUE(LEFT('Eight questions'!F13,1))&lt;=2,'Eight questions'!O13="Read only",OR('Eight questions'!J13="Public",'Eight questions'!J13="Internal"),OR('Eight questions'!L13="Nothing",'Eight questions'!L13="Static documents"),'Eight questions'!M13="Yes, in production"),"Quick win","No"))</f>
      </c>
      <c r="D13" s="20">
        <f>IF(C13&lt;&gt;"No","",IF(IF(Register!U13="",Register!T13,Register!U13)="Agent","It is an agent",IF(VALUE(LEFT('Eight questions'!F13,1))&gt;2,"Reach is tier 3 or above",IF('Eight questions'!O13&lt;&gt;"Read only","It is not read only - "&amp;'Eight questions'!O13,IF(OR('Eight questions'!J13="Confidential",'Eight questions'!J13="Regulated"),"Data class is "&amp;'Eight questions'!J13,IF(OR('Eight questions'!L13="Live system state",'Eight questions'!L13="Take an action",'Eight questions'!L13="Analytical data"),"The source is not static - "&amp;'Eight questions'!L13,IF('Eight questions'!M13&lt;&gt;"Yes, in production","The connection does not exist in production","")))))))</f>
      </c>
      <c r="E13" s="20">
        <f>IF('Assurance and gate'!K13="","",'Assurance and gate'!K13)</f>
      </c>
      <c r="F13" s="20">
        <f>IF('Eight questions'!M13="","",IF('Eight questions'!M13="No","Yes - programme work, not a quick win","No"))</f>
      </c>
      <c r="G13" s="20">
        <f>IF(IF('Technology direction'!D13="",'Technology direction'!C13,'Technology direction'!D13)="","",IF('Technology direction'!D13="",'Technology direction'!C13,'Technology direction'!D13)&amp;IF('Technology direction'!H13=""," "," - "&amp;'Technology direction'!H13)&amp;IF('Eight questions'!J13="Regulated"," - constrained by regulated data: a stated data location and private networking",IF('Eight questions'!J13="Confidential"," - constrained by confidential data: an explicit DLP policy and a named retention period","")))</f>
      </c>
      <c r="H13" s="20">
        <f>IF(IF('Technology direction'!D13="",'Technology direction'!C13,'Technology direction'!D13)="","",IF(IF('Technology direction'!D13="",'Technology direction'!C13,'Technology direction'!D13)="1 Not AI","Automation or data platform team",IF(IF('Technology direction'!D13="",'Technology direction'!C13,'Technology direction'!D13)="2 Ready-made","Workload team plus a Microsoft 365 administrator",IF(IF('Technology direction'!D13="",'Technology direction'!C13,'Technology direction'!D13)="3 Low-code","Workload team, a Copilot Studio maker, and the Platform team for connectors and DLP","Platform team, pro-code engineers, AI security and evaluation")))&amp;IF('Assurance and gate'!J13&gt;=3," - plus AI Centre of Excellence review",""))</f>
      </c>
      <c r="I13" s="20">
        <f>IF(IF('Technology direction'!D13="",'Technology direction'!C13,'Technology direction'!D13)="","",IF(IF('Technology direction'!D13="",'Technology direction'!C13,'Technology direction'!D13)="1 Not AI","Configuration: days to weeks",IF(IF('Technology direction'!D13="",'Technology direction'!C13,'Technology direction'!D13)="2 Ready-made","Configure and adopt: one to three weeks",IF(IF('Technology direction'!D13="",'Technology direction'!C13,'Technology direction'!D13)="3 Low-code","Low-code build: three to eight weeks",IF(IF('Technology direction'!D13="",'Technology direction'!C13,'Technology direction'!D13)="4 Pro-code","Pro-code build: two to six months","Platform build: six months or more"))))&amp;IF('Eight questions'!M13="No"," - integration-led, and the integration conversation comes first",""))</f>
      </c>
      <c r="J13" s="20">
        <f>IF('Assurance and gate'!J13="","",IF('Assurance and gate'!J13=1,"Standard guardrails only",IF('Assurance and gate'!J13=2,"Named owner spot-checks, plus platform monitoring",IF('Assurance and gate'!J13=3,"Measured pilot, scheduled re-evaluation and a decision gate","A staffed human control that recurs every time the process runs, monitoring, scheduled evaluation and a route to a person")))&amp;" - plus licences, credits and the monthly consumption review")</f>
      </c>
      <c r="K13" s="20">
        <f>IF(OR('Eight questions'!L13="",'Eight questions'!M13=""),"",IF('Eight questions'!M13="No","Months - integration-led",IF(OR('Eight questions'!L13="Live system state",'Eight questions'!L13="Take an action"),"Months",IF('Eight questions'!L13="Analytical data","Weeks to months",IF('Assurance and gate'!J13=4,"Weeks, plus a full assurance cycle","Weeks")))))</f>
      </c>
      <c r="L13" s="20">
        <f>IF(IF('Technology direction'!D13="",'Technology direction'!C13,'Technology direction'!D13)="","",IF(IF('Technology direction'!D13="",'Technology direction'!C13,'Technology direction'!D13)="1 Not AI","Automation or Fabric guidance",IF(IF('Technology direction'!D13="",'Technology direction'!C13,'Technology direction'!D13)="2 Ready-made","Ready-made agent enablement and an adoption workshop",IF(IF('Technology direction'!D13="",'Technology direction'!C13,'Technology direction'!D13)="3 Low-code","Copilot Studio enablement, plus a partner for connectors","An architecture design session, plus a partner for the build")))&amp;IF('Assurance and gate'!J13=4," - plus a responsible AI review",""))</f>
      </c>
      <c r="M13" s="20">
        <f>IF(B13="","",IF('Outcome contract'!C13="","The result, stated as an outcome with a number. ","")&amp;IF('Outcome contract'!E13="","Baseline today. ","")&amp;IF('Outcome contract'!F13="","Target. ","")&amp;IF('Outcome contract'!G13="","Owner for the build. ","")&amp;IF('Outcome contract'!H13="","Owner after go-live. ","")&amp;IF('Outcome contract'!I13="","The boundary: what it will refuse to do. ","")&amp;IF(COUNTBLANK('Outcome contract'!M13)&gt;0,"V1 how many people do this work today. ","")&amp;IF(COUNTBLANK('Outcome contract'!N13)&gt;0,"V2 how often it happens. ","")&amp;IF(COUNTBLANK('Outcome contract'!O13)&gt;0,"V3 how long it takes each time. ","")&amp;IF(COUNTBLANK('Outcome contract'!P13)&gt;0,"V4 how often it goes wrong and what that costs. ","")&amp;IF('Outcome contract'!S13="","V6 what happens to the time saved. ","")&amp;IF('Eight questions'!J13="","Data classification. ","")&amp;IF('Eight questions'!M13="","Whether the connection already exists. ","")&amp;IF('Eight questions'!O13="","What a wrong answer costs. ","")&amp;IF(AND('Eight questions'!J13="Regulated",'Eight questions'!I13=""),"Consent and residency position. ",""))</f>
      </c>
      <c r="N13" s="21">
        <f>IF(B13="","",(15-(IF('Outcome contract'!C13="",1,0)+IF('Outcome contract'!E13="",1,0)+IF('Outcome contract'!F13="",1,0)+IF('Outcome contract'!G13="",1,0)+IF('Outcome contract'!H13="",1,0)+IF('Outcome contract'!I13="",1,0)+COUNTBLANK('Outcome contract'!M13)+COUNTBLANK('Outcome contract'!N13)+COUNTBLANK('Outcome contract'!O13)+COUNTBLANK('Outcome contract'!P13)+IF('Outcome contract'!S13="",1,0)+IF('Eight questions'!J13="",1,0)+IF('Eight questions'!M13="",1,0)+IF('Eight questions'!O13="",1,0)+IF('Eight questions'!C13="",1,0)))/15)</f>
      </c>
    </row>
    <row r="14" ht="30" customHeight="1" spans="1:14" x14ac:dyDescent="0.25">
      <c r="A14" s="20">
        <f>IF(Register!A14="","",Register!A14)</f>
      </c>
      <c r="B14" s="20">
        <f>IF(Register!C14="","",Register!C14)</f>
      </c>
      <c r="C14" s="20">
        <f>IF(OR(IF(Register!U14="",Register!T14,Register!U14)="",'Eight questions'!F14="",'Eight questions'!J14="",'Eight questions'!L14="",'Eight questions'!M14="",'Eight questions'!O14=""),"",IF(AND(IF(Register!U14="",Register!T14,Register!U14)&lt;&gt;"Agent",VALUE(LEFT('Eight questions'!F14,1))&lt;=2,'Eight questions'!O14="Read only",OR('Eight questions'!J14="Public",'Eight questions'!J14="Internal"),OR('Eight questions'!L14="Nothing",'Eight questions'!L14="Static documents"),'Eight questions'!M14="Yes, in production"),"Quick win","No"))</f>
      </c>
      <c r="D14" s="20">
        <f>IF(C14&lt;&gt;"No","",IF(IF(Register!U14="",Register!T14,Register!U14)="Agent","It is an agent",IF(VALUE(LEFT('Eight questions'!F14,1))&gt;2,"Reach is tier 3 or above",IF('Eight questions'!O14&lt;&gt;"Read only","It is not read only - "&amp;'Eight questions'!O14,IF(OR('Eight questions'!J14="Confidential",'Eight questions'!J14="Regulated"),"Data class is "&amp;'Eight questions'!J14,IF(OR('Eight questions'!L14="Live system state",'Eight questions'!L14="Take an action",'Eight questions'!L14="Analytical data"),"The source is not static - "&amp;'Eight questions'!L14,IF('Eight questions'!M14&lt;&gt;"Yes, in production","The connection does not exist in production","")))))))</f>
      </c>
      <c r="E14" s="20">
        <f>IF('Assurance and gate'!K14="","",'Assurance and gate'!K14)</f>
      </c>
      <c r="F14" s="20">
        <f>IF('Eight questions'!M14="","",IF('Eight questions'!M14="No","Yes - programme work, not a quick win","No"))</f>
      </c>
      <c r="G14" s="20">
        <f>IF(IF('Technology direction'!D14="",'Technology direction'!C14,'Technology direction'!D14)="","",IF('Technology direction'!D14="",'Technology direction'!C14,'Technology direction'!D14)&amp;IF('Technology direction'!H14=""," "," - "&amp;'Technology direction'!H14)&amp;IF('Eight questions'!J14="Regulated"," - constrained by regulated data: a stated data location and private networking",IF('Eight questions'!J14="Confidential"," - constrained by confidential data: an explicit DLP policy and a named retention period","")))</f>
      </c>
      <c r="H14" s="20">
        <f>IF(IF('Technology direction'!D14="",'Technology direction'!C14,'Technology direction'!D14)="","",IF(IF('Technology direction'!D14="",'Technology direction'!C14,'Technology direction'!D14)="1 Not AI","Automation or data platform team",IF(IF('Technology direction'!D14="",'Technology direction'!C14,'Technology direction'!D14)="2 Ready-made","Workload team plus a Microsoft 365 administrator",IF(IF('Technology direction'!D14="",'Technology direction'!C14,'Technology direction'!D14)="3 Low-code","Workload team, a Copilot Studio maker, and the Platform team for connectors and DLP","Platform team, pro-code engineers, AI security and evaluation")))&amp;IF('Assurance and gate'!J14&gt;=3," - plus AI Centre of Excellence review",""))</f>
      </c>
      <c r="I14" s="20">
        <f>IF(IF('Technology direction'!D14="",'Technology direction'!C14,'Technology direction'!D14)="","",IF(IF('Technology direction'!D14="",'Technology direction'!C14,'Technology direction'!D14)="1 Not AI","Configuration: days to weeks",IF(IF('Technology direction'!D14="",'Technology direction'!C14,'Technology direction'!D14)="2 Ready-made","Configure and adopt: one to three weeks",IF(IF('Technology direction'!D14="",'Technology direction'!C14,'Technology direction'!D14)="3 Low-code","Low-code build: three to eight weeks",IF(IF('Technology direction'!D14="",'Technology direction'!C14,'Technology direction'!D14)="4 Pro-code","Pro-code build: two to six months","Platform build: six months or more"))))&amp;IF('Eight questions'!M14="No"," - integration-led, and the integration conversation comes first",""))</f>
      </c>
      <c r="J14" s="20">
        <f>IF('Assurance and gate'!J14="","",IF('Assurance and gate'!J14=1,"Standard guardrails only",IF('Assurance and gate'!J14=2,"Named owner spot-checks, plus platform monitoring",IF('Assurance and gate'!J14=3,"Measured pilot, scheduled re-evaluation and a decision gate","A staffed human control that recurs every time the process runs, monitoring, scheduled evaluation and a route to a person")))&amp;" - plus licences, credits and the monthly consumption review")</f>
      </c>
      <c r="K14" s="20">
        <f>IF(OR('Eight questions'!L14="",'Eight questions'!M14=""),"",IF('Eight questions'!M14="No","Months - integration-led",IF(OR('Eight questions'!L14="Live system state",'Eight questions'!L14="Take an action"),"Months",IF('Eight questions'!L14="Analytical data","Weeks to months",IF('Assurance and gate'!J14=4,"Weeks, plus a full assurance cycle","Weeks")))))</f>
      </c>
      <c r="L14" s="20">
        <f>IF(IF('Technology direction'!D14="",'Technology direction'!C14,'Technology direction'!D14)="","",IF(IF('Technology direction'!D14="",'Technology direction'!C14,'Technology direction'!D14)="1 Not AI","Automation or Fabric guidance",IF(IF('Technology direction'!D14="",'Technology direction'!C14,'Technology direction'!D14)="2 Ready-made","Ready-made agent enablement and an adoption workshop",IF(IF('Technology direction'!D14="",'Technology direction'!C14,'Technology direction'!D14)="3 Low-code","Copilot Studio enablement, plus a partner for connectors","An architecture design session, plus a partner for the build")))&amp;IF('Assurance and gate'!J14=4," - plus a responsible AI review",""))</f>
      </c>
      <c r="M14" s="20">
        <f>IF(B14="","",IF('Outcome contract'!C14="","The result, stated as an outcome with a number. ","")&amp;IF('Outcome contract'!E14="","Baseline today. ","")&amp;IF('Outcome contract'!F14="","Target. ","")&amp;IF('Outcome contract'!G14="","Owner for the build. ","")&amp;IF('Outcome contract'!H14="","Owner after go-live. ","")&amp;IF('Outcome contract'!I14="","The boundary: what it will refuse to do. ","")&amp;IF(COUNTBLANK('Outcome contract'!M14)&gt;0,"V1 how many people do this work today. ","")&amp;IF(COUNTBLANK('Outcome contract'!N14)&gt;0,"V2 how often it happens. ","")&amp;IF(COUNTBLANK('Outcome contract'!O14)&gt;0,"V3 how long it takes each time. ","")&amp;IF(COUNTBLANK('Outcome contract'!P14)&gt;0,"V4 how often it goes wrong and what that costs. ","")&amp;IF('Outcome contract'!S14="","V6 what happens to the time saved. ","")&amp;IF('Eight questions'!J14="","Data classification. ","")&amp;IF('Eight questions'!M14="","Whether the connection already exists. ","")&amp;IF('Eight questions'!O14="","What a wrong answer costs. ","")&amp;IF(AND('Eight questions'!J14="Regulated",'Eight questions'!I14=""),"Consent and residency position. ",""))</f>
      </c>
      <c r="N14" s="21">
        <f>IF(B14="","",(15-(IF('Outcome contract'!C14="",1,0)+IF('Outcome contract'!E14="",1,0)+IF('Outcome contract'!F14="",1,0)+IF('Outcome contract'!G14="",1,0)+IF('Outcome contract'!H14="",1,0)+IF('Outcome contract'!I14="",1,0)+COUNTBLANK('Outcome contract'!M14)+COUNTBLANK('Outcome contract'!N14)+COUNTBLANK('Outcome contract'!O14)+COUNTBLANK('Outcome contract'!P14)+IF('Outcome contract'!S14="",1,0)+IF('Eight questions'!J14="",1,0)+IF('Eight questions'!M14="",1,0)+IF('Eight questions'!O14="",1,0)+IF('Eight questions'!C14="",1,0)))/15)</f>
      </c>
    </row>
    <row r="15" ht="30" customHeight="1" spans="1:14" x14ac:dyDescent="0.25">
      <c r="A15" s="20">
        <f>IF(Register!A15="","",Register!A15)</f>
      </c>
      <c r="B15" s="20">
        <f>IF(Register!C15="","",Register!C15)</f>
      </c>
      <c r="C15" s="20">
        <f>IF(OR(IF(Register!U15="",Register!T15,Register!U15)="",'Eight questions'!F15="",'Eight questions'!J15="",'Eight questions'!L15="",'Eight questions'!M15="",'Eight questions'!O15=""),"",IF(AND(IF(Register!U15="",Register!T15,Register!U15)&lt;&gt;"Agent",VALUE(LEFT('Eight questions'!F15,1))&lt;=2,'Eight questions'!O15="Read only",OR('Eight questions'!J15="Public",'Eight questions'!J15="Internal"),OR('Eight questions'!L15="Nothing",'Eight questions'!L15="Static documents"),'Eight questions'!M15="Yes, in production"),"Quick win","No"))</f>
      </c>
      <c r="D15" s="20">
        <f>IF(C15&lt;&gt;"No","",IF(IF(Register!U15="",Register!T15,Register!U15)="Agent","It is an agent",IF(VALUE(LEFT('Eight questions'!F15,1))&gt;2,"Reach is tier 3 or above",IF('Eight questions'!O15&lt;&gt;"Read only","It is not read only - "&amp;'Eight questions'!O15,IF(OR('Eight questions'!J15="Confidential",'Eight questions'!J15="Regulated"),"Data class is "&amp;'Eight questions'!J15,IF(OR('Eight questions'!L15="Live system state",'Eight questions'!L15="Take an action",'Eight questions'!L15="Analytical data"),"The source is not static - "&amp;'Eight questions'!L15,IF('Eight questions'!M15&lt;&gt;"Yes, in production","The connection does not exist in production","")))))))</f>
      </c>
      <c r="E15" s="20">
        <f>IF('Assurance and gate'!K15="","",'Assurance and gate'!K15)</f>
      </c>
      <c r="F15" s="20">
        <f>IF('Eight questions'!M15="","",IF('Eight questions'!M15="No","Yes - programme work, not a quick win","No"))</f>
      </c>
      <c r="G15" s="20">
        <f>IF(IF('Technology direction'!D15="",'Technology direction'!C15,'Technology direction'!D15)="","",IF('Technology direction'!D15="",'Technology direction'!C15,'Technology direction'!D15)&amp;IF('Technology direction'!H15=""," "," - "&amp;'Technology direction'!H15)&amp;IF('Eight questions'!J15="Regulated"," - constrained by regulated data: a stated data location and private networking",IF('Eight questions'!J15="Confidential"," - constrained by confidential data: an explicit DLP policy and a named retention period","")))</f>
      </c>
      <c r="H15" s="20">
        <f>IF(IF('Technology direction'!D15="",'Technology direction'!C15,'Technology direction'!D15)="","",IF(IF('Technology direction'!D15="",'Technology direction'!C15,'Technology direction'!D15)="1 Not AI","Automation or data platform team",IF(IF('Technology direction'!D15="",'Technology direction'!C15,'Technology direction'!D15)="2 Ready-made","Workload team plus a Microsoft 365 administrator",IF(IF('Technology direction'!D15="",'Technology direction'!C15,'Technology direction'!D15)="3 Low-code","Workload team, a Copilot Studio maker, and the Platform team for connectors and DLP","Platform team, pro-code engineers, AI security and evaluation")))&amp;IF('Assurance and gate'!J15&gt;=3," - plus AI Centre of Excellence review",""))</f>
      </c>
      <c r="I15" s="20">
        <f>IF(IF('Technology direction'!D15="",'Technology direction'!C15,'Technology direction'!D15)="","",IF(IF('Technology direction'!D15="",'Technology direction'!C15,'Technology direction'!D15)="1 Not AI","Configuration: days to weeks",IF(IF('Technology direction'!D15="",'Technology direction'!C15,'Technology direction'!D15)="2 Ready-made","Configure and adopt: one to three weeks",IF(IF('Technology direction'!D15="",'Technology direction'!C15,'Technology direction'!D15)="3 Low-code","Low-code build: three to eight weeks",IF(IF('Technology direction'!D15="",'Technology direction'!C15,'Technology direction'!D15)="4 Pro-code","Pro-code build: two to six months","Platform build: six months or more"))))&amp;IF('Eight questions'!M15="No"," - integration-led, and the integration conversation comes first",""))</f>
      </c>
      <c r="J15" s="20">
        <f>IF('Assurance and gate'!J15="","",IF('Assurance and gate'!J15=1,"Standard guardrails only",IF('Assurance and gate'!J15=2,"Named owner spot-checks, plus platform monitoring",IF('Assurance and gate'!J15=3,"Measured pilot, scheduled re-evaluation and a decision gate","A staffed human control that recurs every time the process runs, monitoring, scheduled evaluation and a route to a person")))&amp;" - plus licences, credits and the monthly consumption review")</f>
      </c>
      <c r="K15" s="20">
        <f>IF(OR('Eight questions'!L15="",'Eight questions'!M15=""),"",IF('Eight questions'!M15="No","Months - integration-led",IF(OR('Eight questions'!L15="Live system state",'Eight questions'!L15="Take an action"),"Months",IF('Eight questions'!L15="Analytical data","Weeks to months",IF('Assurance and gate'!J15=4,"Weeks, plus a full assurance cycle","Weeks")))))</f>
      </c>
      <c r="L15" s="20">
        <f>IF(IF('Technology direction'!D15="",'Technology direction'!C15,'Technology direction'!D15)="","",IF(IF('Technology direction'!D15="",'Technology direction'!C15,'Technology direction'!D15)="1 Not AI","Automation or Fabric guidance",IF(IF('Technology direction'!D15="",'Technology direction'!C15,'Technology direction'!D15)="2 Ready-made","Ready-made agent enablement and an adoption workshop",IF(IF('Technology direction'!D15="",'Technology direction'!C15,'Technology direction'!D15)="3 Low-code","Copilot Studio enablement, plus a partner for connectors","An architecture design session, plus a partner for the build")))&amp;IF('Assurance and gate'!J15=4," - plus a responsible AI review",""))</f>
      </c>
      <c r="M15" s="20">
        <f>IF(B15="","",IF('Outcome contract'!C15="","The result, stated as an outcome with a number. ","")&amp;IF('Outcome contract'!E15="","Baseline today. ","")&amp;IF('Outcome contract'!F15="","Target. ","")&amp;IF('Outcome contract'!G15="","Owner for the build. ","")&amp;IF('Outcome contract'!H15="","Owner after go-live. ","")&amp;IF('Outcome contract'!I15="","The boundary: what it will refuse to do. ","")&amp;IF(COUNTBLANK('Outcome contract'!M15)&gt;0,"V1 how many people do this work today. ","")&amp;IF(COUNTBLANK('Outcome contract'!N15)&gt;0,"V2 how often it happens. ","")&amp;IF(COUNTBLANK('Outcome contract'!O15)&gt;0,"V3 how long it takes each time. ","")&amp;IF(COUNTBLANK('Outcome contract'!P15)&gt;0,"V4 how often it goes wrong and what that costs. ","")&amp;IF('Outcome contract'!S15="","V6 what happens to the time saved. ","")&amp;IF('Eight questions'!J15="","Data classification. ","")&amp;IF('Eight questions'!M15="","Whether the connection already exists. ","")&amp;IF('Eight questions'!O15="","What a wrong answer costs. ","")&amp;IF(AND('Eight questions'!J15="Regulated",'Eight questions'!I15=""),"Consent and residency position. ",""))</f>
      </c>
      <c r="N15" s="21">
        <f>IF(B15="","",(15-(IF('Outcome contract'!C15="",1,0)+IF('Outcome contract'!E15="",1,0)+IF('Outcome contract'!F15="",1,0)+IF('Outcome contract'!G15="",1,0)+IF('Outcome contract'!H15="",1,0)+IF('Outcome contract'!I15="",1,0)+COUNTBLANK('Outcome contract'!M15)+COUNTBLANK('Outcome contract'!N15)+COUNTBLANK('Outcome contract'!O15)+COUNTBLANK('Outcome contract'!P15)+IF('Outcome contract'!S15="",1,0)+IF('Eight questions'!J15="",1,0)+IF('Eight questions'!M15="",1,0)+IF('Eight questions'!O15="",1,0)+IF('Eight questions'!C15="",1,0)))/15)</f>
      </c>
    </row>
    <row r="16" ht="30" customHeight="1" spans="1:14" x14ac:dyDescent="0.25">
      <c r="A16" s="20">
        <f>IF(Register!A16="","",Register!A16)</f>
      </c>
      <c r="B16" s="20">
        <f>IF(Register!C16="","",Register!C16)</f>
      </c>
      <c r="C16" s="20">
        <f>IF(OR(IF(Register!U16="",Register!T16,Register!U16)="",'Eight questions'!F16="",'Eight questions'!J16="",'Eight questions'!L16="",'Eight questions'!M16="",'Eight questions'!O16=""),"",IF(AND(IF(Register!U16="",Register!T16,Register!U16)&lt;&gt;"Agent",VALUE(LEFT('Eight questions'!F16,1))&lt;=2,'Eight questions'!O16="Read only",OR('Eight questions'!J16="Public",'Eight questions'!J16="Internal"),OR('Eight questions'!L16="Nothing",'Eight questions'!L16="Static documents"),'Eight questions'!M16="Yes, in production"),"Quick win","No"))</f>
      </c>
      <c r="D16" s="20">
        <f>IF(C16&lt;&gt;"No","",IF(IF(Register!U16="",Register!T16,Register!U16)="Agent","It is an agent",IF(VALUE(LEFT('Eight questions'!F16,1))&gt;2,"Reach is tier 3 or above",IF('Eight questions'!O16&lt;&gt;"Read only","It is not read only - "&amp;'Eight questions'!O16,IF(OR('Eight questions'!J16="Confidential",'Eight questions'!J16="Regulated"),"Data class is "&amp;'Eight questions'!J16,IF(OR('Eight questions'!L16="Live system state",'Eight questions'!L16="Take an action",'Eight questions'!L16="Analytical data"),"The source is not static - "&amp;'Eight questions'!L16,IF('Eight questions'!M16&lt;&gt;"Yes, in production","The connection does not exist in production","")))))))</f>
      </c>
      <c r="E16" s="20">
        <f>IF('Assurance and gate'!K16="","",'Assurance and gate'!K16)</f>
      </c>
      <c r="F16" s="20">
        <f>IF('Eight questions'!M16="","",IF('Eight questions'!M16="No","Yes - programme work, not a quick win","No"))</f>
      </c>
      <c r="G16" s="20">
        <f>IF(IF('Technology direction'!D16="",'Technology direction'!C16,'Technology direction'!D16)="","",IF('Technology direction'!D16="",'Technology direction'!C16,'Technology direction'!D16)&amp;IF('Technology direction'!H16=""," "," - "&amp;'Technology direction'!H16)&amp;IF('Eight questions'!J16="Regulated"," - constrained by regulated data: a stated data location and private networking",IF('Eight questions'!J16="Confidential"," - constrained by confidential data: an explicit DLP policy and a named retention period","")))</f>
      </c>
      <c r="H16" s="20">
        <f>IF(IF('Technology direction'!D16="",'Technology direction'!C16,'Technology direction'!D16)="","",IF(IF('Technology direction'!D16="",'Technology direction'!C16,'Technology direction'!D16)="1 Not AI","Automation or data platform team",IF(IF('Technology direction'!D16="",'Technology direction'!C16,'Technology direction'!D16)="2 Ready-made","Workload team plus a Microsoft 365 administrator",IF(IF('Technology direction'!D16="",'Technology direction'!C16,'Technology direction'!D16)="3 Low-code","Workload team, a Copilot Studio maker, and the Platform team for connectors and DLP","Platform team, pro-code engineers, AI security and evaluation")))&amp;IF('Assurance and gate'!J16&gt;=3," - plus AI Centre of Excellence review",""))</f>
      </c>
      <c r="I16" s="20">
        <f>IF(IF('Technology direction'!D16="",'Technology direction'!C16,'Technology direction'!D16)="","",IF(IF('Technology direction'!D16="",'Technology direction'!C16,'Technology direction'!D16)="1 Not AI","Configuration: days to weeks",IF(IF('Technology direction'!D16="",'Technology direction'!C16,'Technology direction'!D16)="2 Ready-made","Configure and adopt: one to three weeks",IF(IF('Technology direction'!D16="",'Technology direction'!C16,'Technology direction'!D16)="3 Low-code","Low-code build: three to eight weeks",IF(IF('Technology direction'!D16="",'Technology direction'!C16,'Technology direction'!D16)="4 Pro-code","Pro-code build: two to six months","Platform build: six months or more"))))&amp;IF('Eight questions'!M16="No"," - integration-led, and the integration conversation comes first",""))</f>
      </c>
      <c r="J16" s="20">
        <f>IF('Assurance and gate'!J16="","",IF('Assurance and gate'!J16=1,"Standard guardrails only",IF('Assurance and gate'!J16=2,"Named owner spot-checks, plus platform monitoring",IF('Assurance and gate'!J16=3,"Measured pilot, scheduled re-evaluation and a decision gate","A staffed human control that recurs every time the process runs, monitoring, scheduled evaluation and a route to a person")))&amp;" - plus licences, credits and the monthly consumption review")</f>
      </c>
      <c r="K16" s="20">
        <f>IF(OR('Eight questions'!L16="",'Eight questions'!M16=""),"",IF('Eight questions'!M16="No","Months - integration-led",IF(OR('Eight questions'!L16="Live system state",'Eight questions'!L16="Take an action"),"Months",IF('Eight questions'!L16="Analytical data","Weeks to months",IF('Assurance and gate'!J16=4,"Weeks, plus a full assurance cycle","Weeks")))))</f>
      </c>
      <c r="L16" s="20">
        <f>IF(IF('Technology direction'!D16="",'Technology direction'!C16,'Technology direction'!D16)="","",IF(IF('Technology direction'!D16="",'Technology direction'!C16,'Technology direction'!D16)="1 Not AI","Automation or Fabric guidance",IF(IF('Technology direction'!D16="",'Technology direction'!C16,'Technology direction'!D16)="2 Ready-made","Ready-made agent enablement and an adoption workshop",IF(IF('Technology direction'!D16="",'Technology direction'!C16,'Technology direction'!D16)="3 Low-code","Copilot Studio enablement, plus a partner for connectors","An architecture design session, plus a partner for the build")))&amp;IF('Assurance and gate'!J16=4," - plus a responsible AI review",""))</f>
      </c>
      <c r="M16" s="20">
        <f>IF(B16="","",IF('Outcome contract'!C16="","The result, stated as an outcome with a number. ","")&amp;IF('Outcome contract'!E16="","Baseline today. ","")&amp;IF('Outcome contract'!F16="","Target. ","")&amp;IF('Outcome contract'!G16="","Owner for the build. ","")&amp;IF('Outcome contract'!H16="","Owner after go-live. ","")&amp;IF('Outcome contract'!I16="","The boundary: what it will refuse to do. ","")&amp;IF(COUNTBLANK('Outcome contract'!M16)&gt;0,"V1 how many people do this work today. ","")&amp;IF(COUNTBLANK('Outcome contract'!N16)&gt;0,"V2 how often it happens. ","")&amp;IF(COUNTBLANK('Outcome contract'!O16)&gt;0,"V3 how long it takes each time. ","")&amp;IF(COUNTBLANK('Outcome contract'!P16)&gt;0,"V4 how often it goes wrong and what that costs. ","")&amp;IF('Outcome contract'!S16="","V6 what happens to the time saved. ","")&amp;IF('Eight questions'!J16="","Data classification. ","")&amp;IF('Eight questions'!M16="","Whether the connection already exists. ","")&amp;IF('Eight questions'!O16="","What a wrong answer costs. ","")&amp;IF(AND('Eight questions'!J16="Regulated",'Eight questions'!I16=""),"Consent and residency position. ",""))</f>
      </c>
      <c r="N16" s="21">
        <f>IF(B16="","",(15-(IF('Outcome contract'!C16="",1,0)+IF('Outcome contract'!E16="",1,0)+IF('Outcome contract'!F16="",1,0)+IF('Outcome contract'!G16="",1,0)+IF('Outcome contract'!H16="",1,0)+IF('Outcome contract'!I16="",1,0)+COUNTBLANK('Outcome contract'!M16)+COUNTBLANK('Outcome contract'!N16)+COUNTBLANK('Outcome contract'!O16)+COUNTBLANK('Outcome contract'!P16)+IF('Outcome contract'!S16="",1,0)+IF('Eight questions'!J16="",1,0)+IF('Eight questions'!M16="",1,0)+IF('Eight questions'!O16="",1,0)+IF('Eight questions'!C16="",1,0)))/15)</f>
      </c>
    </row>
    <row r="17" ht="30" customHeight="1" spans="1:14" x14ac:dyDescent="0.25">
      <c r="A17" s="20">
        <f>IF(Register!A17="","",Register!A17)</f>
      </c>
      <c r="B17" s="20">
        <f>IF(Register!C17="","",Register!C17)</f>
      </c>
      <c r="C17" s="20">
        <f>IF(OR(IF(Register!U17="",Register!T17,Register!U17)="",'Eight questions'!F17="",'Eight questions'!J17="",'Eight questions'!L17="",'Eight questions'!M17="",'Eight questions'!O17=""),"",IF(AND(IF(Register!U17="",Register!T17,Register!U17)&lt;&gt;"Agent",VALUE(LEFT('Eight questions'!F17,1))&lt;=2,'Eight questions'!O17="Read only",OR('Eight questions'!J17="Public",'Eight questions'!J17="Internal"),OR('Eight questions'!L17="Nothing",'Eight questions'!L17="Static documents"),'Eight questions'!M17="Yes, in production"),"Quick win","No"))</f>
      </c>
      <c r="D17" s="20">
        <f>IF(C17&lt;&gt;"No","",IF(IF(Register!U17="",Register!T17,Register!U17)="Agent","It is an agent",IF(VALUE(LEFT('Eight questions'!F17,1))&gt;2,"Reach is tier 3 or above",IF('Eight questions'!O17&lt;&gt;"Read only","It is not read only - "&amp;'Eight questions'!O17,IF(OR('Eight questions'!J17="Confidential",'Eight questions'!J17="Regulated"),"Data class is "&amp;'Eight questions'!J17,IF(OR('Eight questions'!L17="Live system state",'Eight questions'!L17="Take an action",'Eight questions'!L17="Analytical data"),"The source is not static - "&amp;'Eight questions'!L17,IF('Eight questions'!M17&lt;&gt;"Yes, in production","The connection does not exist in production","")))))))</f>
      </c>
      <c r="E17" s="20">
        <f>IF('Assurance and gate'!K17="","",'Assurance and gate'!K17)</f>
      </c>
      <c r="F17" s="20">
        <f>IF('Eight questions'!M17="","",IF('Eight questions'!M17="No","Yes - programme work, not a quick win","No"))</f>
      </c>
      <c r="G17" s="20">
        <f>IF(IF('Technology direction'!D17="",'Technology direction'!C17,'Technology direction'!D17)="","",IF('Technology direction'!D17="",'Technology direction'!C17,'Technology direction'!D17)&amp;IF('Technology direction'!H17=""," "," - "&amp;'Technology direction'!H17)&amp;IF('Eight questions'!J17="Regulated"," - constrained by regulated data: a stated data location and private networking",IF('Eight questions'!J17="Confidential"," - constrained by confidential data: an explicit DLP policy and a named retention period","")))</f>
      </c>
      <c r="H17" s="20">
        <f>IF(IF('Technology direction'!D17="",'Technology direction'!C17,'Technology direction'!D17)="","",IF(IF('Technology direction'!D17="",'Technology direction'!C17,'Technology direction'!D17)="1 Not AI","Automation or data platform team",IF(IF('Technology direction'!D17="",'Technology direction'!C17,'Technology direction'!D17)="2 Ready-made","Workload team plus a Microsoft 365 administrator",IF(IF('Technology direction'!D17="",'Technology direction'!C17,'Technology direction'!D17)="3 Low-code","Workload team, a Copilot Studio maker, and the Platform team for connectors and DLP","Platform team, pro-code engineers, AI security and evaluation")))&amp;IF('Assurance and gate'!J17&gt;=3," - plus AI Centre of Excellence review",""))</f>
      </c>
      <c r="I17" s="20">
        <f>IF(IF('Technology direction'!D17="",'Technology direction'!C17,'Technology direction'!D17)="","",IF(IF('Technology direction'!D17="",'Technology direction'!C17,'Technology direction'!D17)="1 Not AI","Configuration: days to weeks",IF(IF('Technology direction'!D17="",'Technology direction'!C17,'Technology direction'!D17)="2 Ready-made","Configure and adopt: one to three weeks",IF(IF('Technology direction'!D17="",'Technology direction'!C17,'Technology direction'!D17)="3 Low-code","Low-code build: three to eight weeks",IF(IF('Technology direction'!D17="",'Technology direction'!C17,'Technology direction'!D17)="4 Pro-code","Pro-code build: two to six months","Platform build: six months or more"))))&amp;IF('Eight questions'!M17="No"," - integration-led, and the integration conversation comes first",""))</f>
      </c>
      <c r="J17" s="20">
        <f>IF('Assurance and gate'!J17="","",IF('Assurance and gate'!J17=1,"Standard guardrails only",IF('Assurance and gate'!J17=2,"Named owner spot-checks, plus platform monitoring",IF('Assurance and gate'!J17=3,"Measured pilot, scheduled re-evaluation and a decision gate","A staffed human control that recurs every time the process runs, monitoring, scheduled evaluation and a route to a person")))&amp;" - plus licences, credits and the monthly consumption review")</f>
      </c>
      <c r="K17" s="20">
        <f>IF(OR('Eight questions'!L17="",'Eight questions'!M17=""),"",IF('Eight questions'!M17="No","Months - integration-led",IF(OR('Eight questions'!L17="Live system state",'Eight questions'!L17="Take an action"),"Months",IF('Eight questions'!L17="Analytical data","Weeks to months",IF('Assurance and gate'!J17=4,"Weeks, plus a full assurance cycle","Weeks")))))</f>
      </c>
      <c r="L17" s="20">
        <f>IF(IF('Technology direction'!D17="",'Technology direction'!C17,'Technology direction'!D17)="","",IF(IF('Technology direction'!D17="",'Technology direction'!C17,'Technology direction'!D17)="1 Not AI","Automation or Fabric guidance",IF(IF('Technology direction'!D17="",'Technology direction'!C17,'Technology direction'!D17)="2 Ready-made","Ready-made agent enablement and an adoption workshop",IF(IF('Technology direction'!D17="",'Technology direction'!C17,'Technology direction'!D17)="3 Low-code","Copilot Studio enablement, plus a partner for connectors","An architecture design session, plus a partner for the build")))&amp;IF('Assurance and gate'!J17=4," - plus a responsible AI review",""))</f>
      </c>
      <c r="M17" s="20">
        <f>IF(B17="","",IF('Outcome contract'!C17="","The result, stated as an outcome with a number. ","")&amp;IF('Outcome contract'!E17="","Baseline today. ","")&amp;IF('Outcome contract'!F17="","Target. ","")&amp;IF('Outcome contract'!G17="","Owner for the build. ","")&amp;IF('Outcome contract'!H17="","Owner after go-live. ","")&amp;IF('Outcome contract'!I17="","The boundary: what it will refuse to do. ","")&amp;IF(COUNTBLANK('Outcome contract'!M17)&gt;0,"V1 how many people do this work today. ","")&amp;IF(COUNTBLANK('Outcome contract'!N17)&gt;0,"V2 how often it happens. ","")&amp;IF(COUNTBLANK('Outcome contract'!O17)&gt;0,"V3 how long it takes each time. ","")&amp;IF(COUNTBLANK('Outcome contract'!P17)&gt;0,"V4 how often it goes wrong and what that costs. ","")&amp;IF('Outcome contract'!S17="","V6 what happens to the time saved. ","")&amp;IF('Eight questions'!J17="","Data classification. ","")&amp;IF('Eight questions'!M17="","Whether the connection already exists. ","")&amp;IF('Eight questions'!O17="","What a wrong answer costs. ","")&amp;IF(AND('Eight questions'!J17="Regulated",'Eight questions'!I17=""),"Consent and residency position. ",""))</f>
      </c>
      <c r="N17" s="21">
        <f>IF(B17="","",(15-(IF('Outcome contract'!C17="",1,0)+IF('Outcome contract'!E17="",1,0)+IF('Outcome contract'!F17="",1,0)+IF('Outcome contract'!G17="",1,0)+IF('Outcome contract'!H17="",1,0)+IF('Outcome contract'!I17="",1,0)+COUNTBLANK('Outcome contract'!M17)+COUNTBLANK('Outcome contract'!N17)+COUNTBLANK('Outcome contract'!O17)+COUNTBLANK('Outcome contract'!P17)+IF('Outcome contract'!S17="",1,0)+IF('Eight questions'!J17="",1,0)+IF('Eight questions'!M17="",1,0)+IF('Eight questions'!O17="",1,0)+IF('Eight questions'!C17="",1,0)))/15)</f>
      </c>
    </row>
    <row r="18" ht="30" customHeight="1" spans="1:14" x14ac:dyDescent="0.25">
      <c r="A18" s="20">
        <f>IF(Register!A18="","",Register!A18)</f>
      </c>
      <c r="B18" s="20">
        <f>IF(Register!C18="","",Register!C18)</f>
      </c>
      <c r="C18" s="20">
        <f>IF(OR(IF(Register!U18="",Register!T18,Register!U18)="",'Eight questions'!F18="",'Eight questions'!J18="",'Eight questions'!L18="",'Eight questions'!M18="",'Eight questions'!O18=""),"",IF(AND(IF(Register!U18="",Register!T18,Register!U18)&lt;&gt;"Agent",VALUE(LEFT('Eight questions'!F18,1))&lt;=2,'Eight questions'!O18="Read only",OR('Eight questions'!J18="Public",'Eight questions'!J18="Internal"),OR('Eight questions'!L18="Nothing",'Eight questions'!L18="Static documents"),'Eight questions'!M18="Yes, in production"),"Quick win","No"))</f>
      </c>
      <c r="D18" s="20">
        <f>IF(C18&lt;&gt;"No","",IF(IF(Register!U18="",Register!T18,Register!U18)="Agent","It is an agent",IF(VALUE(LEFT('Eight questions'!F18,1))&gt;2,"Reach is tier 3 or above",IF('Eight questions'!O18&lt;&gt;"Read only","It is not read only - "&amp;'Eight questions'!O18,IF(OR('Eight questions'!J18="Confidential",'Eight questions'!J18="Regulated"),"Data class is "&amp;'Eight questions'!J18,IF(OR('Eight questions'!L18="Live system state",'Eight questions'!L18="Take an action",'Eight questions'!L18="Analytical data"),"The source is not static - "&amp;'Eight questions'!L18,IF('Eight questions'!M18&lt;&gt;"Yes, in production","The connection does not exist in production","")))))))</f>
      </c>
      <c r="E18" s="20">
        <f>IF('Assurance and gate'!K18="","",'Assurance and gate'!K18)</f>
      </c>
      <c r="F18" s="20">
        <f>IF('Eight questions'!M18="","",IF('Eight questions'!M18="No","Yes - programme work, not a quick win","No"))</f>
      </c>
      <c r="G18" s="20">
        <f>IF(IF('Technology direction'!D18="",'Technology direction'!C18,'Technology direction'!D18)="","",IF('Technology direction'!D18="",'Technology direction'!C18,'Technology direction'!D18)&amp;IF('Technology direction'!H18=""," "," - "&amp;'Technology direction'!H18)&amp;IF('Eight questions'!J18="Regulated"," - constrained by regulated data: a stated data location and private networking",IF('Eight questions'!J18="Confidential"," - constrained by confidential data: an explicit DLP policy and a named retention period","")))</f>
      </c>
      <c r="H18" s="20">
        <f>IF(IF('Technology direction'!D18="",'Technology direction'!C18,'Technology direction'!D18)="","",IF(IF('Technology direction'!D18="",'Technology direction'!C18,'Technology direction'!D18)="1 Not AI","Automation or data platform team",IF(IF('Technology direction'!D18="",'Technology direction'!C18,'Technology direction'!D18)="2 Ready-made","Workload team plus a Microsoft 365 administrator",IF(IF('Technology direction'!D18="",'Technology direction'!C18,'Technology direction'!D18)="3 Low-code","Workload team, a Copilot Studio maker, and the Platform team for connectors and DLP","Platform team, pro-code engineers, AI security and evaluation")))&amp;IF('Assurance and gate'!J18&gt;=3," - plus AI Centre of Excellence review",""))</f>
      </c>
      <c r="I18" s="20">
        <f>IF(IF('Technology direction'!D18="",'Technology direction'!C18,'Technology direction'!D18)="","",IF(IF('Technology direction'!D18="",'Technology direction'!C18,'Technology direction'!D18)="1 Not AI","Configuration: days to weeks",IF(IF('Technology direction'!D18="",'Technology direction'!C18,'Technology direction'!D18)="2 Ready-made","Configure and adopt: one to three weeks",IF(IF('Technology direction'!D18="",'Technology direction'!C18,'Technology direction'!D18)="3 Low-code","Low-code build: three to eight weeks",IF(IF('Technology direction'!D18="",'Technology direction'!C18,'Technology direction'!D18)="4 Pro-code","Pro-code build: two to six months","Platform build: six months or more"))))&amp;IF('Eight questions'!M18="No"," - integration-led, and the integration conversation comes first",""))</f>
      </c>
      <c r="J18" s="20">
        <f>IF('Assurance and gate'!J18="","",IF('Assurance and gate'!J18=1,"Standard guardrails only",IF('Assurance and gate'!J18=2,"Named owner spot-checks, plus platform monitoring",IF('Assurance and gate'!J18=3,"Measured pilot, scheduled re-evaluation and a decision gate","A staffed human control that recurs every time the process runs, monitoring, scheduled evaluation and a route to a person")))&amp;" - plus licences, credits and the monthly consumption review")</f>
      </c>
      <c r="K18" s="20">
        <f>IF(OR('Eight questions'!L18="",'Eight questions'!M18=""),"",IF('Eight questions'!M18="No","Months - integration-led",IF(OR('Eight questions'!L18="Live system state",'Eight questions'!L18="Take an action"),"Months",IF('Eight questions'!L18="Analytical data","Weeks to months",IF('Assurance and gate'!J18=4,"Weeks, plus a full assurance cycle","Weeks")))))</f>
      </c>
      <c r="L18" s="20">
        <f>IF(IF('Technology direction'!D18="",'Technology direction'!C18,'Technology direction'!D18)="","",IF(IF('Technology direction'!D18="",'Technology direction'!C18,'Technology direction'!D18)="1 Not AI","Automation or Fabric guidance",IF(IF('Technology direction'!D18="",'Technology direction'!C18,'Technology direction'!D18)="2 Ready-made","Ready-made agent enablement and an adoption workshop",IF(IF('Technology direction'!D18="",'Technology direction'!C18,'Technology direction'!D18)="3 Low-code","Copilot Studio enablement, plus a partner for connectors","An architecture design session, plus a partner for the build")))&amp;IF('Assurance and gate'!J18=4," - plus a responsible AI review",""))</f>
      </c>
      <c r="M18" s="20">
        <f>IF(B18="","",IF('Outcome contract'!C18="","The result, stated as an outcome with a number. ","")&amp;IF('Outcome contract'!E18="","Baseline today. ","")&amp;IF('Outcome contract'!F18="","Target. ","")&amp;IF('Outcome contract'!G18="","Owner for the build. ","")&amp;IF('Outcome contract'!H18="","Owner after go-live. ","")&amp;IF('Outcome contract'!I18="","The boundary: what it will refuse to do. ","")&amp;IF(COUNTBLANK('Outcome contract'!M18)&gt;0,"V1 how many people do this work today. ","")&amp;IF(COUNTBLANK('Outcome contract'!N18)&gt;0,"V2 how often it happens. ","")&amp;IF(COUNTBLANK('Outcome contract'!O18)&gt;0,"V3 how long it takes each time. ","")&amp;IF(COUNTBLANK('Outcome contract'!P18)&gt;0,"V4 how often it goes wrong and what that costs. ","")&amp;IF('Outcome contract'!S18="","V6 what happens to the time saved. ","")&amp;IF('Eight questions'!J18="","Data classification. ","")&amp;IF('Eight questions'!M18="","Whether the connection already exists. ","")&amp;IF('Eight questions'!O18="","What a wrong answer costs. ","")&amp;IF(AND('Eight questions'!J18="Regulated",'Eight questions'!I18=""),"Consent and residency position. ",""))</f>
      </c>
      <c r="N18" s="21">
        <f>IF(B18="","",(15-(IF('Outcome contract'!C18="",1,0)+IF('Outcome contract'!E18="",1,0)+IF('Outcome contract'!F18="",1,0)+IF('Outcome contract'!G18="",1,0)+IF('Outcome contract'!H18="",1,0)+IF('Outcome contract'!I18="",1,0)+COUNTBLANK('Outcome contract'!M18)+COUNTBLANK('Outcome contract'!N18)+COUNTBLANK('Outcome contract'!O18)+COUNTBLANK('Outcome contract'!P18)+IF('Outcome contract'!S18="",1,0)+IF('Eight questions'!J18="",1,0)+IF('Eight questions'!M18="",1,0)+IF('Eight questions'!O18="",1,0)+IF('Eight questions'!C18="",1,0)))/15)</f>
      </c>
    </row>
    <row r="19" ht="30" customHeight="1" spans="1:14" x14ac:dyDescent="0.25">
      <c r="A19" s="20">
        <f>IF(Register!A19="","",Register!A19)</f>
      </c>
      <c r="B19" s="20">
        <f>IF(Register!C19="","",Register!C19)</f>
      </c>
      <c r="C19" s="20">
        <f>IF(OR(IF(Register!U19="",Register!T19,Register!U19)="",'Eight questions'!F19="",'Eight questions'!J19="",'Eight questions'!L19="",'Eight questions'!M19="",'Eight questions'!O19=""),"",IF(AND(IF(Register!U19="",Register!T19,Register!U19)&lt;&gt;"Agent",VALUE(LEFT('Eight questions'!F19,1))&lt;=2,'Eight questions'!O19="Read only",OR('Eight questions'!J19="Public",'Eight questions'!J19="Internal"),OR('Eight questions'!L19="Nothing",'Eight questions'!L19="Static documents"),'Eight questions'!M19="Yes, in production"),"Quick win","No"))</f>
      </c>
      <c r="D19" s="20">
        <f>IF(C19&lt;&gt;"No","",IF(IF(Register!U19="",Register!T19,Register!U19)="Agent","It is an agent",IF(VALUE(LEFT('Eight questions'!F19,1))&gt;2,"Reach is tier 3 or above",IF('Eight questions'!O19&lt;&gt;"Read only","It is not read only - "&amp;'Eight questions'!O19,IF(OR('Eight questions'!J19="Confidential",'Eight questions'!J19="Regulated"),"Data class is "&amp;'Eight questions'!J19,IF(OR('Eight questions'!L19="Live system state",'Eight questions'!L19="Take an action",'Eight questions'!L19="Analytical data"),"The source is not static - "&amp;'Eight questions'!L19,IF('Eight questions'!M19&lt;&gt;"Yes, in production","The connection does not exist in production","")))))))</f>
      </c>
      <c r="E19" s="20">
        <f>IF('Assurance and gate'!K19="","",'Assurance and gate'!K19)</f>
      </c>
      <c r="F19" s="20">
        <f>IF('Eight questions'!M19="","",IF('Eight questions'!M19="No","Yes - programme work, not a quick win","No"))</f>
      </c>
      <c r="G19" s="20">
        <f>IF(IF('Technology direction'!D19="",'Technology direction'!C19,'Technology direction'!D19)="","",IF('Technology direction'!D19="",'Technology direction'!C19,'Technology direction'!D19)&amp;IF('Technology direction'!H19=""," "," - "&amp;'Technology direction'!H19)&amp;IF('Eight questions'!J19="Regulated"," - constrained by regulated data: a stated data location and private networking",IF('Eight questions'!J19="Confidential"," - constrained by confidential data: an explicit DLP policy and a named retention period","")))</f>
      </c>
      <c r="H19" s="20">
        <f>IF(IF('Technology direction'!D19="",'Technology direction'!C19,'Technology direction'!D19)="","",IF(IF('Technology direction'!D19="",'Technology direction'!C19,'Technology direction'!D19)="1 Not AI","Automation or data platform team",IF(IF('Technology direction'!D19="",'Technology direction'!C19,'Technology direction'!D19)="2 Ready-made","Workload team plus a Microsoft 365 administrator",IF(IF('Technology direction'!D19="",'Technology direction'!C19,'Technology direction'!D19)="3 Low-code","Workload team, a Copilot Studio maker, and the Platform team for connectors and DLP","Platform team, pro-code engineers, AI security and evaluation")))&amp;IF('Assurance and gate'!J19&gt;=3," - plus AI Centre of Excellence review",""))</f>
      </c>
      <c r="I19" s="20">
        <f>IF(IF('Technology direction'!D19="",'Technology direction'!C19,'Technology direction'!D19)="","",IF(IF('Technology direction'!D19="",'Technology direction'!C19,'Technology direction'!D19)="1 Not AI","Configuration: days to weeks",IF(IF('Technology direction'!D19="",'Technology direction'!C19,'Technology direction'!D19)="2 Ready-made","Configure and adopt: one to three weeks",IF(IF('Technology direction'!D19="",'Technology direction'!C19,'Technology direction'!D19)="3 Low-code","Low-code build: three to eight weeks",IF(IF('Technology direction'!D19="",'Technology direction'!C19,'Technology direction'!D19)="4 Pro-code","Pro-code build: two to six months","Platform build: six months or more"))))&amp;IF('Eight questions'!M19="No"," - integration-led, and the integration conversation comes first",""))</f>
      </c>
      <c r="J19" s="20">
        <f>IF('Assurance and gate'!J19="","",IF('Assurance and gate'!J19=1,"Standard guardrails only",IF('Assurance and gate'!J19=2,"Named owner spot-checks, plus platform monitoring",IF('Assurance and gate'!J19=3,"Measured pilot, scheduled re-evaluation and a decision gate","A staffed human control that recurs every time the process runs, monitoring, scheduled evaluation and a route to a person")))&amp;" - plus licences, credits and the monthly consumption review")</f>
      </c>
      <c r="K19" s="20">
        <f>IF(OR('Eight questions'!L19="",'Eight questions'!M19=""),"",IF('Eight questions'!M19="No","Months - integration-led",IF(OR('Eight questions'!L19="Live system state",'Eight questions'!L19="Take an action"),"Months",IF('Eight questions'!L19="Analytical data","Weeks to months",IF('Assurance and gate'!J19=4,"Weeks, plus a full assurance cycle","Weeks")))))</f>
      </c>
      <c r="L19" s="20">
        <f>IF(IF('Technology direction'!D19="",'Technology direction'!C19,'Technology direction'!D19)="","",IF(IF('Technology direction'!D19="",'Technology direction'!C19,'Technology direction'!D19)="1 Not AI","Automation or Fabric guidance",IF(IF('Technology direction'!D19="",'Technology direction'!C19,'Technology direction'!D19)="2 Ready-made","Ready-made agent enablement and an adoption workshop",IF(IF('Technology direction'!D19="",'Technology direction'!C19,'Technology direction'!D19)="3 Low-code","Copilot Studio enablement, plus a partner for connectors","An architecture design session, plus a partner for the build")))&amp;IF('Assurance and gate'!J19=4," - plus a responsible AI review",""))</f>
      </c>
      <c r="M19" s="20">
        <f>IF(B19="","",IF('Outcome contract'!C19="","The result, stated as an outcome with a number. ","")&amp;IF('Outcome contract'!E19="","Baseline today. ","")&amp;IF('Outcome contract'!F19="","Target. ","")&amp;IF('Outcome contract'!G19="","Owner for the build. ","")&amp;IF('Outcome contract'!H19="","Owner after go-live. ","")&amp;IF('Outcome contract'!I19="","The boundary: what it will refuse to do. ","")&amp;IF(COUNTBLANK('Outcome contract'!M19)&gt;0,"V1 how many people do this work today. ","")&amp;IF(COUNTBLANK('Outcome contract'!N19)&gt;0,"V2 how often it happens. ","")&amp;IF(COUNTBLANK('Outcome contract'!O19)&gt;0,"V3 how long it takes each time. ","")&amp;IF(COUNTBLANK('Outcome contract'!P19)&gt;0,"V4 how often it goes wrong and what that costs. ","")&amp;IF('Outcome contract'!S19="","V6 what happens to the time saved. ","")&amp;IF('Eight questions'!J19="","Data classification. ","")&amp;IF('Eight questions'!M19="","Whether the connection already exists. ","")&amp;IF('Eight questions'!O19="","What a wrong answer costs. ","")&amp;IF(AND('Eight questions'!J19="Regulated",'Eight questions'!I19=""),"Consent and residency position. ",""))</f>
      </c>
      <c r="N19" s="21">
        <f>IF(B19="","",(15-(IF('Outcome contract'!C19="",1,0)+IF('Outcome contract'!E19="",1,0)+IF('Outcome contract'!F19="",1,0)+IF('Outcome contract'!G19="",1,0)+IF('Outcome contract'!H19="",1,0)+IF('Outcome contract'!I19="",1,0)+COUNTBLANK('Outcome contract'!M19)+COUNTBLANK('Outcome contract'!N19)+COUNTBLANK('Outcome contract'!O19)+COUNTBLANK('Outcome contract'!P19)+IF('Outcome contract'!S19="",1,0)+IF('Eight questions'!J19="",1,0)+IF('Eight questions'!M19="",1,0)+IF('Eight questions'!O19="",1,0)+IF('Eight questions'!C19="",1,0)))/15)</f>
      </c>
    </row>
    <row r="20" ht="30" customHeight="1" spans="1:14" x14ac:dyDescent="0.25">
      <c r="A20" s="20">
        <f>IF(Register!A20="","",Register!A20)</f>
      </c>
      <c r="B20" s="20">
        <f>IF(Register!C20="","",Register!C20)</f>
      </c>
      <c r="C20" s="20">
        <f>IF(OR(IF(Register!U20="",Register!T20,Register!U20)="",'Eight questions'!F20="",'Eight questions'!J20="",'Eight questions'!L20="",'Eight questions'!M20="",'Eight questions'!O20=""),"",IF(AND(IF(Register!U20="",Register!T20,Register!U20)&lt;&gt;"Agent",VALUE(LEFT('Eight questions'!F20,1))&lt;=2,'Eight questions'!O20="Read only",OR('Eight questions'!J20="Public",'Eight questions'!J20="Internal"),OR('Eight questions'!L20="Nothing",'Eight questions'!L20="Static documents"),'Eight questions'!M20="Yes, in production"),"Quick win","No"))</f>
      </c>
      <c r="D20" s="20">
        <f>IF(C20&lt;&gt;"No","",IF(IF(Register!U20="",Register!T20,Register!U20)="Agent","It is an agent",IF(VALUE(LEFT('Eight questions'!F20,1))&gt;2,"Reach is tier 3 or above",IF('Eight questions'!O20&lt;&gt;"Read only","It is not read only - "&amp;'Eight questions'!O20,IF(OR('Eight questions'!J20="Confidential",'Eight questions'!J20="Regulated"),"Data class is "&amp;'Eight questions'!J20,IF(OR('Eight questions'!L20="Live system state",'Eight questions'!L20="Take an action",'Eight questions'!L20="Analytical data"),"The source is not static - "&amp;'Eight questions'!L20,IF('Eight questions'!M20&lt;&gt;"Yes, in production","The connection does not exist in production","")))))))</f>
      </c>
      <c r="E20" s="20">
        <f>IF('Assurance and gate'!K20="","",'Assurance and gate'!K20)</f>
      </c>
      <c r="F20" s="20">
        <f>IF('Eight questions'!M20="","",IF('Eight questions'!M20="No","Yes - programme work, not a quick win","No"))</f>
      </c>
      <c r="G20" s="20">
        <f>IF(IF('Technology direction'!D20="",'Technology direction'!C20,'Technology direction'!D20)="","",IF('Technology direction'!D20="",'Technology direction'!C20,'Technology direction'!D20)&amp;IF('Technology direction'!H20=""," "," - "&amp;'Technology direction'!H20)&amp;IF('Eight questions'!J20="Regulated"," - constrained by regulated data: a stated data location and private networking",IF('Eight questions'!J20="Confidential"," - constrained by confidential data: an explicit DLP policy and a named retention period","")))</f>
      </c>
      <c r="H20" s="20">
        <f>IF(IF('Technology direction'!D20="",'Technology direction'!C20,'Technology direction'!D20)="","",IF(IF('Technology direction'!D20="",'Technology direction'!C20,'Technology direction'!D20)="1 Not AI","Automation or data platform team",IF(IF('Technology direction'!D20="",'Technology direction'!C20,'Technology direction'!D20)="2 Ready-made","Workload team plus a Microsoft 365 administrator",IF(IF('Technology direction'!D20="",'Technology direction'!C20,'Technology direction'!D20)="3 Low-code","Workload team, a Copilot Studio maker, and the Platform team for connectors and DLP","Platform team, pro-code engineers, AI security and evaluation")))&amp;IF('Assurance and gate'!J20&gt;=3," - plus AI Centre of Excellence review",""))</f>
      </c>
      <c r="I20" s="20">
        <f>IF(IF('Technology direction'!D20="",'Technology direction'!C20,'Technology direction'!D20)="","",IF(IF('Technology direction'!D20="",'Technology direction'!C20,'Technology direction'!D20)="1 Not AI","Configuration: days to weeks",IF(IF('Technology direction'!D20="",'Technology direction'!C20,'Technology direction'!D20)="2 Ready-made","Configure and adopt: one to three weeks",IF(IF('Technology direction'!D20="",'Technology direction'!C20,'Technology direction'!D20)="3 Low-code","Low-code build: three to eight weeks",IF(IF('Technology direction'!D20="",'Technology direction'!C20,'Technology direction'!D20)="4 Pro-code","Pro-code build: two to six months","Platform build: six months or more"))))&amp;IF('Eight questions'!M20="No"," - integration-led, and the integration conversation comes first",""))</f>
      </c>
      <c r="J20" s="20">
        <f>IF('Assurance and gate'!J20="","",IF('Assurance and gate'!J20=1,"Standard guardrails only",IF('Assurance and gate'!J20=2,"Named owner spot-checks, plus platform monitoring",IF('Assurance and gate'!J20=3,"Measured pilot, scheduled re-evaluation and a decision gate","A staffed human control that recurs every time the process runs, monitoring, scheduled evaluation and a route to a person")))&amp;" - plus licences, credits and the monthly consumption review")</f>
      </c>
      <c r="K20" s="20">
        <f>IF(OR('Eight questions'!L20="",'Eight questions'!M20=""),"",IF('Eight questions'!M20="No","Months - integration-led",IF(OR('Eight questions'!L20="Live system state",'Eight questions'!L20="Take an action"),"Months",IF('Eight questions'!L20="Analytical data","Weeks to months",IF('Assurance and gate'!J20=4,"Weeks, plus a full assurance cycle","Weeks")))))</f>
      </c>
      <c r="L20" s="20">
        <f>IF(IF('Technology direction'!D20="",'Technology direction'!C20,'Technology direction'!D20)="","",IF(IF('Technology direction'!D20="",'Technology direction'!C20,'Technology direction'!D20)="1 Not AI","Automation or Fabric guidance",IF(IF('Technology direction'!D20="",'Technology direction'!C20,'Technology direction'!D20)="2 Ready-made","Ready-made agent enablement and an adoption workshop",IF(IF('Technology direction'!D20="",'Technology direction'!C20,'Technology direction'!D20)="3 Low-code","Copilot Studio enablement, plus a partner for connectors","An architecture design session, plus a partner for the build")))&amp;IF('Assurance and gate'!J20=4," - plus a responsible AI review",""))</f>
      </c>
      <c r="M20" s="20">
        <f>IF(B20="","",IF('Outcome contract'!C20="","The result, stated as an outcome with a number. ","")&amp;IF('Outcome contract'!E20="","Baseline today. ","")&amp;IF('Outcome contract'!F20="","Target. ","")&amp;IF('Outcome contract'!G20="","Owner for the build. ","")&amp;IF('Outcome contract'!H20="","Owner after go-live. ","")&amp;IF('Outcome contract'!I20="","The boundary: what it will refuse to do. ","")&amp;IF(COUNTBLANK('Outcome contract'!M20)&gt;0,"V1 how many people do this work today. ","")&amp;IF(COUNTBLANK('Outcome contract'!N20)&gt;0,"V2 how often it happens. ","")&amp;IF(COUNTBLANK('Outcome contract'!O20)&gt;0,"V3 how long it takes each time. ","")&amp;IF(COUNTBLANK('Outcome contract'!P20)&gt;0,"V4 how often it goes wrong and what that costs. ","")&amp;IF('Outcome contract'!S20="","V6 what happens to the time saved. ","")&amp;IF('Eight questions'!J20="","Data classification. ","")&amp;IF('Eight questions'!M20="","Whether the connection already exists. ","")&amp;IF('Eight questions'!O20="","What a wrong answer costs. ","")&amp;IF(AND('Eight questions'!J20="Regulated",'Eight questions'!I20=""),"Consent and residency position. ",""))</f>
      </c>
      <c r="N20" s="21">
        <f>IF(B20="","",(15-(IF('Outcome contract'!C20="",1,0)+IF('Outcome contract'!E20="",1,0)+IF('Outcome contract'!F20="",1,0)+IF('Outcome contract'!G20="",1,0)+IF('Outcome contract'!H20="",1,0)+IF('Outcome contract'!I20="",1,0)+COUNTBLANK('Outcome contract'!M20)+COUNTBLANK('Outcome contract'!N20)+COUNTBLANK('Outcome contract'!O20)+COUNTBLANK('Outcome contract'!P20)+IF('Outcome contract'!S20="",1,0)+IF('Eight questions'!J20="",1,0)+IF('Eight questions'!M20="",1,0)+IF('Eight questions'!O20="",1,0)+IF('Eight questions'!C20="",1,0)))/15)</f>
      </c>
    </row>
    <row r="21" ht="30" customHeight="1" spans="1:14" x14ac:dyDescent="0.25">
      <c r="A21" s="20">
        <f>IF(Register!A21="","",Register!A21)</f>
      </c>
      <c r="B21" s="20">
        <f>IF(Register!C21="","",Register!C21)</f>
      </c>
      <c r="C21" s="20">
        <f>IF(OR(IF(Register!U21="",Register!T21,Register!U21)="",'Eight questions'!F21="",'Eight questions'!J21="",'Eight questions'!L21="",'Eight questions'!M21="",'Eight questions'!O21=""),"",IF(AND(IF(Register!U21="",Register!T21,Register!U21)&lt;&gt;"Agent",VALUE(LEFT('Eight questions'!F21,1))&lt;=2,'Eight questions'!O21="Read only",OR('Eight questions'!J21="Public",'Eight questions'!J21="Internal"),OR('Eight questions'!L21="Nothing",'Eight questions'!L21="Static documents"),'Eight questions'!M21="Yes, in production"),"Quick win","No"))</f>
      </c>
      <c r="D21" s="20">
        <f>IF(C21&lt;&gt;"No","",IF(IF(Register!U21="",Register!T21,Register!U21)="Agent","It is an agent",IF(VALUE(LEFT('Eight questions'!F21,1))&gt;2,"Reach is tier 3 or above",IF('Eight questions'!O21&lt;&gt;"Read only","It is not read only - "&amp;'Eight questions'!O21,IF(OR('Eight questions'!J21="Confidential",'Eight questions'!J21="Regulated"),"Data class is "&amp;'Eight questions'!J21,IF(OR('Eight questions'!L21="Live system state",'Eight questions'!L21="Take an action",'Eight questions'!L21="Analytical data"),"The source is not static - "&amp;'Eight questions'!L21,IF('Eight questions'!M21&lt;&gt;"Yes, in production","The connection does not exist in production","")))))))</f>
      </c>
      <c r="E21" s="20">
        <f>IF('Assurance and gate'!K21="","",'Assurance and gate'!K21)</f>
      </c>
      <c r="F21" s="20">
        <f>IF('Eight questions'!M21="","",IF('Eight questions'!M21="No","Yes - programme work, not a quick win","No"))</f>
      </c>
      <c r="G21" s="20">
        <f>IF(IF('Technology direction'!D21="",'Technology direction'!C21,'Technology direction'!D21)="","",IF('Technology direction'!D21="",'Technology direction'!C21,'Technology direction'!D21)&amp;IF('Technology direction'!H21=""," "," - "&amp;'Technology direction'!H21)&amp;IF('Eight questions'!J21="Regulated"," - constrained by regulated data: a stated data location and private networking",IF('Eight questions'!J21="Confidential"," - constrained by confidential data: an explicit DLP policy and a named retention period","")))</f>
      </c>
      <c r="H21" s="20">
        <f>IF(IF('Technology direction'!D21="",'Technology direction'!C21,'Technology direction'!D21)="","",IF(IF('Technology direction'!D21="",'Technology direction'!C21,'Technology direction'!D21)="1 Not AI","Automation or data platform team",IF(IF('Technology direction'!D21="",'Technology direction'!C21,'Technology direction'!D21)="2 Ready-made","Workload team plus a Microsoft 365 administrator",IF(IF('Technology direction'!D21="",'Technology direction'!C21,'Technology direction'!D21)="3 Low-code","Workload team, a Copilot Studio maker, and the Platform team for connectors and DLP","Platform team, pro-code engineers, AI security and evaluation")))&amp;IF('Assurance and gate'!J21&gt;=3," - plus AI Centre of Excellence review",""))</f>
      </c>
      <c r="I21" s="20">
        <f>IF(IF('Technology direction'!D21="",'Technology direction'!C21,'Technology direction'!D21)="","",IF(IF('Technology direction'!D21="",'Technology direction'!C21,'Technology direction'!D21)="1 Not AI","Configuration: days to weeks",IF(IF('Technology direction'!D21="",'Technology direction'!C21,'Technology direction'!D21)="2 Ready-made","Configure and adopt: one to three weeks",IF(IF('Technology direction'!D21="",'Technology direction'!C21,'Technology direction'!D21)="3 Low-code","Low-code build: three to eight weeks",IF(IF('Technology direction'!D21="",'Technology direction'!C21,'Technology direction'!D21)="4 Pro-code","Pro-code build: two to six months","Platform build: six months or more"))))&amp;IF('Eight questions'!M21="No"," - integration-led, and the integration conversation comes first",""))</f>
      </c>
      <c r="J21" s="20">
        <f>IF('Assurance and gate'!J21="","",IF('Assurance and gate'!J21=1,"Standard guardrails only",IF('Assurance and gate'!J21=2,"Named owner spot-checks, plus platform monitoring",IF('Assurance and gate'!J21=3,"Measured pilot, scheduled re-evaluation and a decision gate","A staffed human control that recurs every time the process runs, monitoring, scheduled evaluation and a route to a person")))&amp;" - plus licences, credits and the monthly consumption review")</f>
      </c>
      <c r="K21" s="20">
        <f>IF(OR('Eight questions'!L21="",'Eight questions'!M21=""),"",IF('Eight questions'!M21="No","Months - integration-led",IF(OR('Eight questions'!L21="Live system state",'Eight questions'!L21="Take an action"),"Months",IF('Eight questions'!L21="Analytical data","Weeks to months",IF('Assurance and gate'!J21=4,"Weeks, plus a full assurance cycle","Weeks")))))</f>
      </c>
      <c r="L21" s="20">
        <f>IF(IF('Technology direction'!D21="",'Technology direction'!C21,'Technology direction'!D21)="","",IF(IF('Technology direction'!D21="",'Technology direction'!C21,'Technology direction'!D21)="1 Not AI","Automation or Fabric guidance",IF(IF('Technology direction'!D21="",'Technology direction'!C21,'Technology direction'!D21)="2 Ready-made","Ready-made agent enablement and an adoption workshop",IF(IF('Technology direction'!D21="",'Technology direction'!C21,'Technology direction'!D21)="3 Low-code","Copilot Studio enablement, plus a partner for connectors","An architecture design session, plus a partner for the build")))&amp;IF('Assurance and gate'!J21=4," - plus a responsible AI review",""))</f>
      </c>
      <c r="M21" s="20">
        <f>IF(B21="","",IF('Outcome contract'!C21="","The result, stated as an outcome with a number. ","")&amp;IF('Outcome contract'!E21="","Baseline today. ","")&amp;IF('Outcome contract'!F21="","Target. ","")&amp;IF('Outcome contract'!G21="","Owner for the build. ","")&amp;IF('Outcome contract'!H21="","Owner after go-live. ","")&amp;IF('Outcome contract'!I21="","The boundary: what it will refuse to do. ","")&amp;IF(COUNTBLANK('Outcome contract'!M21)&gt;0,"V1 how many people do this work today. ","")&amp;IF(COUNTBLANK('Outcome contract'!N21)&gt;0,"V2 how often it happens. ","")&amp;IF(COUNTBLANK('Outcome contract'!O21)&gt;0,"V3 how long it takes each time. ","")&amp;IF(COUNTBLANK('Outcome contract'!P21)&gt;0,"V4 how often it goes wrong and what that costs. ","")&amp;IF('Outcome contract'!S21="","V6 what happens to the time saved. ","")&amp;IF('Eight questions'!J21="","Data classification. ","")&amp;IF('Eight questions'!M21="","Whether the connection already exists. ","")&amp;IF('Eight questions'!O21="","What a wrong answer costs. ","")&amp;IF(AND('Eight questions'!J21="Regulated",'Eight questions'!I21=""),"Consent and residency position. ",""))</f>
      </c>
      <c r="N21" s="21">
        <f>IF(B21="","",(15-(IF('Outcome contract'!C21="",1,0)+IF('Outcome contract'!E21="",1,0)+IF('Outcome contract'!F21="",1,0)+IF('Outcome contract'!G21="",1,0)+IF('Outcome contract'!H21="",1,0)+IF('Outcome contract'!I21="",1,0)+COUNTBLANK('Outcome contract'!M21)+COUNTBLANK('Outcome contract'!N21)+COUNTBLANK('Outcome contract'!O21)+COUNTBLANK('Outcome contract'!P21)+IF('Outcome contract'!S21="",1,0)+IF('Eight questions'!J21="",1,0)+IF('Eight questions'!M21="",1,0)+IF('Eight questions'!O21="",1,0)+IF('Eight questions'!C21="",1,0)))/15)</f>
      </c>
    </row>
    <row r="22" ht="30" customHeight="1" spans="1:14" x14ac:dyDescent="0.25">
      <c r="A22" s="20">
        <f>IF(Register!A22="","",Register!A22)</f>
      </c>
      <c r="B22" s="20">
        <f>IF(Register!C22="","",Register!C22)</f>
      </c>
      <c r="C22" s="20">
        <f>IF(OR(IF(Register!U22="",Register!T22,Register!U22)="",'Eight questions'!F22="",'Eight questions'!J22="",'Eight questions'!L22="",'Eight questions'!M22="",'Eight questions'!O22=""),"",IF(AND(IF(Register!U22="",Register!T22,Register!U22)&lt;&gt;"Agent",VALUE(LEFT('Eight questions'!F22,1))&lt;=2,'Eight questions'!O22="Read only",OR('Eight questions'!J22="Public",'Eight questions'!J22="Internal"),OR('Eight questions'!L22="Nothing",'Eight questions'!L22="Static documents"),'Eight questions'!M22="Yes, in production"),"Quick win","No"))</f>
      </c>
      <c r="D22" s="20">
        <f>IF(C22&lt;&gt;"No","",IF(IF(Register!U22="",Register!T22,Register!U22)="Agent","It is an agent",IF(VALUE(LEFT('Eight questions'!F22,1))&gt;2,"Reach is tier 3 or above",IF('Eight questions'!O22&lt;&gt;"Read only","It is not read only - "&amp;'Eight questions'!O22,IF(OR('Eight questions'!J22="Confidential",'Eight questions'!J22="Regulated"),"Data class is "&amp;'Eight questions'!J22,IF(OR('Eight questions'!L22="Live system state",'Eight questions'!L22="Take an action",'Eight questions'!L22="Analytical data"),"The source is not static - "&amp;'Eight questions'!L22,IF('Eight questions'!M22&lt;&gt;"Yes, in production","The connection does not exist in production","")))))))</f>
      </c>
      <c r="E22" s="20">
        <f>IF('Assurance and gate'!K22="","",'Assurance and gate'!K22)</f>
      </c>
      <c r="F22" s="20">
        <f>IF('Eight questions'!M22="","",IF('Eight questions'!M22="No","Yes - programme work, not a quick win","No"))</f>
      </c>
      <c r="G22" s="20">
        <f>IF(IF('Technology direction'!D22="",'Technology direction'!C22,'Technology direction'!D22)="","",IF('Technology direction'!D22="",'Technology direction'!C22,'Technology direction'!D22)&amp;IF('Technology direction'!H22=""," "," - "&amp;'Technology direction'!H22)&amp;IF('Eight questions'!J22="Regulated"," - constrained by regulated data: a stated data location and private networking",IF('Eight questions'!J22="Confidential"," - constrained by confidential data: an explicit DLP policy and a named retention period","")))</f>
      </c>
      <c r="H22" s="20">
        <f>IF(IF('Technology direction'!D22="",'Technology direction'!C22,'Technology direction'!D22)="","",IF(IF('Technology direction'!D22="",'Technology direction'!C22,'Technology direction'!D22)="1 Not AI","Automation or data platform team",IF(IF('Technology direction'!D22="",'Technology direction'!C22,'Technology direction'!D22)="2 Ready-made","Workload team plus a Microsoft 365 administrator",IF(IF('Technology direction'!D22="",'Technology direction'!C22,'Technology direction'!D22)="3 Low-code","Workload team, a Copilot Studio maker, and the Platform team for connectors and DLP","Platform team, pro-code engineers, AI security and evaluation")))&amp;IF('Assurance and gate'!J22&gt;=3," - plus AI Centre of Excellence review",""))</f>
      </c>
      <c r="I22" s="20">
        <f>IF(IF('Technology direction'!D22="",'Technology direction'!C22,'Technology direction'!D22)="","",IF(IF('Technology direction'!D22="",'Technology direction'!C22,'Technology direction'!D22)="1 Not AI","Configuration: days to weeks",IF(IF('Technology direction'!D22="",'Technology direction'!C22,'Technology direction'!D22)="2 Ready-made","Configure and adopt: one to three weeks",IF(IF('Technology direction'!D22="",'Technology direction'!C22,'Technology direction'!D22)="3 Low-code","Low-code build: three to eight weeks",IF(IF('Technology direction'!D22="",'Technology direction'!C22,'Technology direction'!D22)="4 Pro-code","Pro-code build: two to six months","Platform build: six months or more"))))&amp;IF('Eight questions'!M22="No"," - integration-led, and the integration conversation comes first",""))</f>
      </c>
      <c r="J22" s="20">
        <f>IF('Assurance and gate'!J22="","",IF('Assurance and gate'!J22=1,"Standard guardrails only",IF('Assurance and gate'!J22=2,"Named owner spot-checks, plus platform monitoring",IF('Assurance and gate'!J22=3,"Measured pilot, scheduled re-evaluation and a decision gate","A staffed human control that recurs every time the process runs, monitoring, scheduled evaluation and a route to a person")))&amp;" - plus licences, credits and the monthly consumption review")</f>
      </c>
      <c r="K22" s="20">
        <f>IF(OR('Eight questions'!L22="",'Eight questions'!M22=""),"",IF('Eight questions'!M22="No","Months - integration-led",IF(OR('Eight questions'!L22="Live system state",'Eight questions'!L22="Take an action"),"Months",IF('Eight questions'!L22="Analytical data","Weeks to months",IF('Assurance and gate'!J22=4,"Weeks, plus a full assurance cycle","Weeks")))))</f>
      </c>
      <c r="L22" s="20">
        <f>IF(IF('Technology direction'!D22="",'Technology direction'!C22,'Technology direction'!D22)="","",IF(IF('Technology direction'!D22="",'Technology direction'!C22,'Technology direction'!D22)="1 Not AI","Automation or Fabric guidance",IF(IF('Technology direction'!D22="",'Technology direction'!C22,'Technology direction'!D22)="2 Ready-made","Ready-made agent enablement and an adoption workshop",IF(IF('Technology direction'!D22="",'Technology direction'!C22,'Technology direction'!D22)="3 Low-code","Copilot Studio enablement, plus a partner for connectors","An architecture design session, plus a partner for the build")))&amp;IF('Assurance and gate'!J22=4," - plus a responsible AI review",""))</f>
      </c>
      <c r="M22" s="20">
        <f>IF(B22="","",IF('Outcome contract'!C22="","The result, stated as an outcome with a number. ","")&amp;IF('Outcome contract'!E22="","Baseline today. ","")&amp;IF('Outcome contract'!F22="","Target. ","")&amp;IF('Outcome contract'!G22="","Owner for the build. ","")&amp;IF('Outcome contract'!H22="","Owner after go-live. ","")&amp;IF('Outcome contract'!I22="","The boundary: what it will refuse to do. ","")&amp;IF(COUNTBLANK('Outcome contract'!M22)&gt;0,"V1 how many people do this work today. ","")&amp;IF(COUNTBLANK('Outcome contract'!N22)&gt;0,"V2 how often it happens. ","")&amp;IF(COUNTBLANK('Outcome contract'!O22)&gt;0,"V3 how long it takes each time. ","")&amp;IF(COUNTBLANK('Outcome contract'!P22)&gt;0,"V4 how often it goes wrong and what that costs. ","")&amp;IF('Outcome contract'!S22="","V6 what happens to the time saved. ","")&amp;IF('Eight questions'!J22="","Data classification. ","")&amp;IF('Eight questions'!M22="","Whether the connection already exists. ","")&amp;IF('Eight questions'!O22="","What a wrong answer costs. ","")&amp;IF(AND('Eight questions'!J22="Regulated",'Eight questions'!I22=""),"Consent and residency position. ",""))</f>
      </c>
      <c r="N22" s="21">
        <f>IF(B22="","",(15-(IF('Outcome contract'!C22="",1,0)+IF('Outcome contract'!E22="",1,0)+IF('Outcome contract'!F22="",1,0)+IF('Outcome contract'!G22="",1,0)+IF('Outcome contract'!H22="",1,0)+IF('Outcome contract'!I22="",1,0)+COUNTBLANK('Outcome contract'!M22)+COUNTBLANK('Outcome contract'!N22)+COUNTBLANK('Outcome contract'!O22)+COUNTBLANK('Outcome contract'!P22)+IF('Outcome contract'!S22="",1,0)+IF('Eight questions'!J22="",1,0)+IF('Eight questions'!M22="",1,0)+IF('Eight questions'!O22="",1,0)+IF('Eight questions'!C22="",1,0)))/15)</f>
      </c>
    </row>
    <row r="23" ht="30" customHeight="1" spans="1:14" x14ac:dyDescent="0.25">
      <c r="A23" s="20">
        <f>IF(Register!A23="","",Register!A23)</f>
      </c>
      <c r="B23" s="20">
        <f>IF(Register!C23="","",Register!C23)</f>
      </c>
      <c r="C23" s="20">
        <f>IF(OR(IF(Register!U23="",Register!T23,Register!U23)="",'Eight questions'!F23="",'Eight questions'!J23="",'Eight questions'!L23="",'Eight questions'!M23="",'Eight questions'!O23=""),"",IF(AND(IF(Register!U23="",Register!T23,Register!U23)&lt;&gt;"Agent",VALUE(LEFT('Eight questions'!F23,1))&lt;=2,'Eight questions'!O23="Read only",OR('Eight questions'!J23="Public",'Eight questions'!J23="Internal"),OR('Eight questions'!L23="Nothing",'Eight questions'!L23="Static documents"),'Eight questions'!M23="Yes, in production"),"Quick win","No"))</f>
      </c>
      <c r="D23" s="20">
        <f>IF(C23&lt;&gt;"No","",IF(IF(Register!U23="",Register!T23,Register!U23)="Agent","It is an agent",IF(VALUE(LEFT('Eight questions'!F23,1))&gt;2,"Reach is tier 3 or above",IF('Eight questions'!O23&lt;&gt;"Read only","It is not read only - "&amp;'Eight questions'!O23,IF(OR('Eight questions'!J23="Confidential",'Eight questions'!J23="Regulated"),"Data class is "&amp;'Eight questions'!J23,IF(OR('Eight questions'!L23="Live system state",'Eight questions'!L23="Take an action",'Eight questions'!L23="Analytical data"),"The source is not static - "&amp;'Eight questions'!L23,IF('Eight questions'!M23&lt;&gt;"Yes, in production","The connection does not exist in production","")))))))</f>
      </c>
      <c r="E23" s="20">
        <f>IF('Assurance and gate'!K23="","",'Assurance and gate'!K23)</f>
      </c>
      <c r="F23" s="20">
        <f>IF('Eight questions'!M23="","",IF('Eight questions'!M23="No","Yes - programme work, not a quick win","No"))</f>
      </c>
      <c r="G23" s="20">
        <f>IF(IF('Technology direction'!D23="",'Technology direction'!C23,'Technology direction'!D23)="","",IF('Technology direction'!D23="",'Technology direction'!C23,'Technology direction'!D23)&amp;IF('Technology direction'!H23=""," "," - "&amp;'Technology direction'!H23)&amp;IF('Eight questions'!J23="Regulated"," - constrained by regulated data: a stated data location and private networking",IF('Eight questions'!J23="Confidential"," - constrained by confidential data: an explicit DLP policy and a named retention period","")))</f>
      </c>
      <c r="H23" s="20">
        <f>IF(IF('Technology direction'!D23="",'Technology direction'!C23,'Technology direction'!D23)="","",IF(IF('Technology direction'!D23="",'Technology direction'!C23,'Technology direction'!D23)="1 Not AI","Automation or data platform team",IF(IF('Technology direction'!D23="",'Technology direction'!C23,'Technology direction'!D23)="2 Ready-made","Workload team plus a Microsoft 365 administrator",IF(IF('Technology direction'!D23="",'Technology direction'!C23,'Technology direction'!D23)="3 Low-code","Workload team, a Copilot Studio maker, and the Platform team for connectors and DLP","Platform team, pro-code engineers, AI security and evaluation")))&amp;IF('Assurance and gate'!J23&gt;=3," - plus AI Centre of Excellence review",""))</f>
      </c>
      <c r="I23" s="20">
        <f>IF(IF('Technology direction'!D23="",'Technology direction'!C23,'Technology direction'!D23)="","",IF(IF('Technology direction'!D23="",'Technology direction'!C23,'Technology direction'!D23)="1 Not AI","Configuration: days to weeks",IF(IF('Technology direction'!D23="",'Technology direction'!C23,'Technology direction'!D23)="2 Ready-made","Configure and adopt: one to three weeks",IF(IF('Technology direction'!D23="",'Technology direction'!C23,'Technology direction'!D23)="3 Low-code","Low-code build: three to eight weeks",IF(IF('Technology direction'!D23="",'Technology direction'!C23,'Technology direction'!D23)="4 Pro-code","Pro-code build: two to six months","Platform build: six months or more"))))&amp;IF('Eight questions'!M23="No"," - integration-led, and the integration conversation comes first",""))</f>
      </c>
      <c r="J23" s="20">
        <f>IF('Assurance and gate'!J23="","",IF('Assurance and gate'!J23=1,"Standard guardrails only",IF('Assurance and gate'!J23=2,"Named owner spot-checks, plus platform monitoring",IF('Assurance and gate'!J23=3,"Measured pilot, scheduled re-evaluation and a decision gate","A staffed human control that recurs every time the process runs, monitoring, scheduled evaluation and a route to a person")))&amp;" - plus licences, credits and the monthly consumption review")</f>
      </c>
      <c r="K23" s="20">
        <f>IF(OR('Eight questions'!L23="",'Eight questions'!M23=""),"",IF('Eight questions'!M23="No","Months - integration-led",IF(OR('Eight questions'!L23="Live system state",'Eight questions'!L23="Take an action"),"Months",IF('Eight questions'!L23="Analytical data","Weeks to months",IF('Assurance and gate'!J23=4,"Weeks, plus a full assurance cycle","Weeks")))))</f>
      </c>
      <c r="L23" s="20">
        <f>IF(IF('Technology direction'!D23="",'Technology direction'!C23,'Technology direction'!D23)="","",IF(IF('Technology direction'!D23="",'Technology direction'!C23,'Technology direction'!D23)="1 Not AI","Automation or Fabric guidance",IF(IF('Technology direction'!D23="",'Technology direction'!C23,'Technology direction'!D23)="2 Ready-made","Ready-made agent enablement and an adoption workshop",IF(IF('Technology direction'!D23="",'Technology direction'!C23,'Technology direction'!D23)="3 Low-code","Copilot Studio enablement, plus a partner for connectors","An architecture design session, plus a partner for the build")))&amp;IF('Assurance and gate'!J23=4," - plus a responsible AI review",""))</f>
      </c>
      <c r="M23" s="20">
        <f>IF(B23="","",IF('Outcome contract'!C23="","The result, stated as an outcome with a number. ","")&amp;IF('Outcome contract'!E23="","Baseline today. ","")&amp;IF('Outcome contract'!F23="","Target. ","")&amp;IF('Outcome contract'!G23="","Owner for the build. ","")&amp;IF('Outcome contract'!H23="","Owner after go-live. ","")&amp;IF('Outcome contract'!I23="","The boundary: what it will refuse to do. ","")&amp;IF(COUNTBLANK('Outcome contract'!M23)&gt;0,"V1 how many people do this work today. ","")&amp;IF(COUNTBLANK('Outcome contract'!N23)&gt;0,"V2 how often it happens. ","")&amp;IF(COUNTBLANK('Outcome contract'!O23)&gt;0,"V3 how long it takes each time. ","")&amp;IF(COUNTBLANK('Outcome contract'!P23)&gt;0,"V4 how often it goes wrong and what that costs. ","")&amp;IF('Outcome contract'!S23="","V6 what happens to the time saved. ","")&amp;IF('Eight questions'!J23="","Data classification. ","")&amp;IF('Eight questions'!M23="","Whether the connection already exists. ","")&amp;IF('Eight questions'!O23="","What a wrong answer costs. ","")&amp;IF(AND('Eight questions'!J23="Regulated",'Eight questions'!I23=""),"Consent and residency position. ",""))</f>
      </c>
      <c r="N23" s="21">
        <f>IF(B23="","",(15-(IF('Outcome contract'!C23="",1,0)+IF('Outcome contract'!E23="",1,0)+IF('Outcome contract'!F23="",1,0)+IF('Outcome contract'!G23="",1,0)+IF('Outcome contract'!H23="",1,0)+IF('Outcome contract'!I23="",1,0)+COUNTBLANK('Outcome contract'!M23)+COUNTBLANK('Outcome contract'!N23)+COUNTBLANK('Outcome contract'!O23)+COUNTBLANK('Outcome contract'!P23)+IF('Outcome contract'!S23="",1,0)+IF('Eight questions'!J23="",1,0)+IF('Eight questions'!M23="",1,0)+IF('Eight questions'!O23="",1,0)+IF('Eight questions'!C23="",1,0)))/15)</f>
      </c>
    </row>
    <row r="24" ht="30" customHeight="1" spans="1:14" x14ac:dyDescent="0.25">
      <c r="A24" s="20">
        <f>IF(Register!A24="","",Register!A24)</f>
      </c>
      <c r="B24" s="20">
        <f>IF(Register!C24="","",Register!C24)</f>
      </c>
      <c r="C24" s="20">
        <f>IF(OR(IF(Register!U24="",Register!T24,Register!U24)="",'Eight questions'!F24="",'Eight questions'!J24="",'Eight questions'!L24="",'Eight questions'!M24="",'Eight questions'!O24=""),"",IF(AND(IF(Register!U24="",Register!T24,Register!U24)&lt;&gt;"Agent",VALUE(LEFT('Eight questions'!F24,1))&lt;=2,'Eight questions'!O24="Read only",OR('Eight questions'!J24="Public",'Eight questions'!J24="Internal"),OR('Eight questions'!L24="Nothing",'Eight questions'!L24="Static documents"),'Eight questions'!M24="Yes, in production"),"Quick win","No"))</f>
      </c>
      <c r="D24" s="20">
        <f>IF(C24&lt;&gt;"No","",IF(IF(Register!U24="",Register!T24,Register!U24)="Agent","It is an agent",IF(VALUE(LEFT('Eight questions'!F24,1))&gt;2,"Reach is tier 3 or above",IF('Eight questions'!O24&lt;&gt;"Read only","It is not read only - "&amp;'Eight questions'!O24,IF(OR('Eight questions'!J24="Confidential",'Eight questions'!J24="Regulated"),"Data class is "&amp;'Eight questions'!J24,IF(OR('Eight questions'!L24="Live system state",'Eight questions'!L24="Take an action",'Eight questions'!L24="Analytical data"),"The source is not static - "&amp;'Eight questions'!L24,IF('Eight questions'!M24&lt;&gt;"Yes, in production","The connection does not exist in production","")))))))</f>
      </c>
      <c r="E24" s="20">
        <f>IF('Assurance and gate'!K24="","",'Assurance and gate'!K24)</f>
      </c>
      <c r="F24" s="20">
        <f>IF('Eight questions'!M24="","",IF('Eight questions'!M24="No","Yes - programme work, not a quick win","No"))</f>
      </c>
      <c r="G24" s="20">
        <f>IF(IF('Technology direction'!D24="",'Technology direction'!C24,'Technology direction'!D24)="","",IF('Technology direction'!D24="",'Technology direction'!C24,'Technology direction'!D24)&amp;IF('Technology direction'!H24=""," "," - "&amp;'Technology direction'!H24)&amp;IF('Eight questions'!J24="Regulated"," - constrained by regulated data: a stated data location and private networking",IF('Eight questions'!J24="Confidential"," - constrained by confidential data: an explicit DLP policy and a named retention period","")))</f>
      </c>
      <c r="H24" s="20">
        <f>IF(IF('Technology direction'!D24="",'Technology direction'!C24,'Technology direction'!D24)="","",IF(IF('Technology direction'!D24="",'Technology direction'!C24,'Technology direction'!D24)="1 Not AI","Automation or data platform team",IF(IF('Technology direction'!D24="",'Technology direction'!C24,'Technology direction'!D24)="2 Ready-made","Workload team plus a Microsoft 365 administrator",IF(IF('Technology direction'!D24="",'Technology direction'!C24,'Technology direction'!D24)="3 Low-code","Workload team, a Copilot Studio maker, and the Platform team for connectors and DLP","Platform team, pro-code engineers, AI security and evaluation")))&amp;IF('Assurance and gate'!J24&gt;=3," - plus AI Centre of Excellence review",""))</f>
      </c>
      <c r="I24" s="20">
        <f>IF(IF('Technology direction'!D24="",'Technology direction'!C24,'Technology direction'!D24)="","",IF(IF('Technology direction'!D24="",'Technology direction'!C24,'Technology direction'!D24)="1 Not AI","Configuration: days to weeks",IF(IF('Technology direction'!D24="",'Technology direction'!C24,'Technology direction'!D24)="2 Ready-made","Configure and adopt: one to three weeks",IF(IF('Technology direction'!D24="",'Technology direction'!C24,'Technology direction'!D24)="3 Low-code","Low-code build: three to eight weeks",IF(IF('Technology direction'!D24="",'Technology direction'!C24,'Technology direction'!D24)="4 Pro-code","Pro-code build: two to six months","Platform build: six months or more"))))&amp;IF('Eight questions'!M24="No"," - integration-led, and the integration conversation comes first",""))</f>
      </c>
      <c r="J24" s="20">
        <f>IF('Assurance and gate'!J24="","",IF('Assurance and gate'!J24=1,"Standard guardrails only",IF('Assurance and gate'!J24=2,"Named owner spot-checks, plus platform monitoring",IF('Assurance and gate'!J24=3,"Measured pilot, scheduled re-evaluation and a decision gate","A staffed human control that recurs every time the process runs, monitoring, scheduled evaluation and a route to a person")))&amp;" - plus licences, credits and the monthly consumption review")</f>
      </c>
      <c r="K24" s="20">
        <f>IF(OR('Eight questions'!L24="",'Eight questions'!M24=""),"",IF('Eight questions'!M24="No","Months - integration-led",IF(OR('Eight questions'!L24="Live system state",'Eight questions'!L24="Take an action"),"Months",IF('Eight questions'!L24="Analytical data","Weeks to months",IF('Assurance and gate'!J24=4,"Weeks, plus a full assurance cycle","Weeks")))))</f>
      </c>
      <c r="L24" s="20">
        <f>IF(IF('Technology direction'!D24="",'Technology direction'!C24,'Technology direction'!D24)="","",IF(IF('Technology direction'!D24="",'Technology direction'!C24,'Technology direction'!D24)="1 Not AI","Automation or Fabric guidance",IF(IF('Technology direction'!D24="",'Technology direction'!C24,'Technology direction'!D24)="2 Ready-made","Ready-made agent enablement and an adoption workshop",IF(IF('Technology direction'!D24="",'Technology direction'!C24,'Technology direction'!D24)="3 Low-code","Copilot Studio enablement, plus a partner for connectors","An architecture design session, plus a partner for the build")))&amp;IF('Assurance and gate'!J24=4," - plus a responsible AI review",""))</f>
      </c>
      <c r="M24" s="20">
        <f>IF(B24="","",IF('Outcome contract'!C24="","The result, stated as an outcome with a number. ","")&amp;IF('Outcome contract'!E24="","Baseline today. ","")&amp;IF('Outcome contract'!F24="","Target. ","")&amp;IF('Outcome contract'!G24="","Owner for the build. ","")&amp;IF('Outcome contract'!H24="","Owner after go-live. ","")&amp;IF('Outcome contract'!I24="","The boundary: what it will refuse to do. ","")&amp;IF(COUNTBLANK('Outcome contract'!M24)&gt;0,"V1 how many people do this work today. ","")&amp;IF(COUNTBLANK('Outcome contract'!N24)&gt;0,"V2 how often it happens. ","")&amp;IF(COUNTBLANK('Outcome contract'!O24)&gt;0,"V3 how long it takes each time. ","")&amp;IF(COUNTBLANK('Outcome contract'!P24)&gt;0,"V4 how often it goes wrong and what that costs. ","")&amp;IF('Outcome contract'!S24="","V6 what happens to the time saved. ","")&amp;IF('Eight questions'!J24="","Data classification. ","")&amp;IF('Eight questions'!M24="","Whether the connection already exists. ","")&amp;IF('Eight questions'!O24="","What a wrong answer costs. ","")&amp;IF(AND('Eight questions'!J24="Regulated",'Eight questions'!I24=""),"Consent and residency position. ",""))</f>
      </c>
      <c r="N24" s="21">
        <f>IF(B24="","",(15-(IF('Outcome contract'!C24="",1,0)+IF('Outcome contract'!E24="",1,0)+IF('Outcome contract'!F24="",1,0)+IF('Outcome contract'!G24="",1,0)+IF('Outcome contract'!H24="",1,0)+IF('Outcome contract'!I24="",1,0)+COUNTBLANK('Outcome contract'!M24)+COUNTBLANK('Outcome contract'!N24)+COUNTBLANK('Outcome contract'!O24)+COUNTBLANK('Outcome contract'!P24)+IF('Outcome contract'!S24="",1,0)+IF('Eight questions'!J24="",1,0)+IF('Eight questions'!M24="",1,0)+IF('Eight questions'!O24="",1,0)+IF('Eight questions'!C24="",1,0)))/15)</f>
      </c>
    </row>
    <row r="25" ht="30" customHeight="1" spans="1:14" x14ac:dyDescent="0.25">
      <c r="A25" s="20">
        <f>IF(Register!A25="","",Register!A25)</f>
      </c>
      <c r="B25" s="20">
        <f>IF(Register!C25="","",Register!C25)</f>
      </c>
      <c r="C25" s="20">
        <f>IF(OR(IF(Register!U25="",Register!T25,Register!U25)="",'Eight questions'!F25="",'Eight questions'!J25="",'Eight questions'!L25="",'Eight questions'!M25="",'Eight questions'!O25=""),"",IF(AND(IF(Register!U25="",Register!T25,Register!U25)&lt;&gt;"Agent",VALUE(LEFT('Eight questions'!F25,1))&lt;=2,'Eight questions'!O25="Read only",OR('Eight questions'!J25="Public",'Eight questions'!J25="Internal"),OR('Eight questions'!L25="Nothing",'Eight questions'!L25="Static documents"),'Eight questions'!M25="Yes, in production"),"Quick win","No"))</f>
      </c>
      <c r="D25" s="20">
        <f>IF(C25&lt;&gt;"No","",IF(IF(Register!U25="",Register!T25,Register!U25)="Agent","It is an agent",IF(VALUE(LEFT('Eight questions'!F25,1))&gt;2,"Reach is tier 3 or above",IF('Eight questions'!O25&lt;&gt;"Read only","It is not read only - "&amp;'Eight questions'!O25,IF(OR('Eight questions'!J25="Confidential",'Eight questions'!J25="Regulated"),"Data class is "&amp;'Eight questions'!J25,IF(OR('Eight questions'!L25="Live system state",'Eight questions'!L25="Take an action",'Eight questions'!L25="Analytical data"),"The source is not static - "&amp;'Eight questions'!L25,IF('Eight questions'!M25&lt;&gt;"Yes, in production","The connection does not exist in production","")))))))</f>
      </c>
      <c r="E25" s="20">
        <f>IF('Assurance and gate'!K25="","",'Assurance and gate'!K25)</f>
      </c>
      <c r="F25" s="20">
        <f>IF('Eight questions'!M25="","",IF('Eight questions'!M25="No","Yes - programme work, not a quick win","No"))</f>
      </c>
      <c r="G25" s="20">
        <f>IF(IF('Technology direction'!D25="",'Technology direction'!C25,'Technology direction'!D25)="","",IF('Technology direction'!D25="",'Technology direction'!C25,'Technology direction'!D25)&amp;IF('Technology direction'!H25=""," "," - "&amp;'Technology direction'!H25)&amp;IF('Eight questions'!J25="Regulated"," - constrained by regulated data: a stated data location and private networking",IF('Eight questions'!J25="Confidential"," - constrained by confidential data: an explicit DLP policy and a named retention period","")))</f>
      </c>
      <c r="H25" s="20">
        <f>IF(IF('Technology direction'!D25="",'Technology direction'!C25,'Technology direction'!D25)="","",IF(IF('Technology direction'!D25="",'Technology direction'!C25,'Technology direction'!D25)="1 Not AI","Automation or data platform team",IF(IF('Technology direction'!D25="",'Technology direction'!C25,'Technology direction'!D25)="2 Ready-made","Workload team plus a Microsoft 365 administrator",IF(IF('Technology direction'!D25="",'Technology direction'!C25,'Technology direction'!D25)="3 Low-code","Workload team, a Copilot Studio maker, and the Platform team for connectors and DLP","Platform team, pro-code engineers, AI security and evaluation")))&amp;IF('Assurance and gate'!J25&gt;=3," - plus AI Centre of Excellence review",""))</f>
      </c>
      <c r="I25" s="20">
        <f>IF(IF('Technology direction'!D25="",'Technology direction'!C25,'Technology direction'!D25)="","",IF(IF('Technology direction'!D25="",'Technology direction'!C25,'Technology direction'!D25)="1 Not AI","Configuration: days to weeks",IF(IF('Technology direction'!D25="",'Technology direction'!C25,'Technology direction'!D25)="2 Ready-made","Configure and adopt: one to three weeks",IF(IF('Technology direction'!D25="",'Technology direction'!C25,'Technology direction'!D25)="3 Low-code","Low-code build: three to eight weeks",IF(IF('Technology direction'!D25="",'Technology direction'!C25,'Technology direction'!D25)="4 Pro-code","Pro-code build: two to six months","Platform build: six months or more"))))&amp;IF('Eight questions'!M25="No"," - integration-led, and the integration conversation comes first",""))</f>
      </c>
      <c r="J25" s="20">
        <f>IF('Assurance and gate'!J25="","",IF('Assurance and gate'!J25=1,"Standard guardrails only",IF('Assurance and gate'!J25=2,"Named owner spot-checks, plus platform monitoring",IF('Assurance and gate'!J25=3,"Measured pilot, scheduled re-evaluation and a decision gate","A staffed human control that recurs every time the process runs, monitoring, scheduled evaluation and a route to a person")))&amp;" - plus licences, credits and the monthly consumption review")</f>
      </c>
      <c r="K25" s="20">
        <f>IF(OR('Eight questions'!L25="",'Eight questions'!M25=""),"",IF('Eight questions'!M25="No","Months - integration-led",IF(OR('Eight questions'!L25="Live system state",'Eight questions'!L25="Take an action"),"Months",IF('Eight questions'!L25="Analytical data","Weeks to months",IF('Assurance and gate'!J25=4,"Weeks, plus a full assurance cycle","Weeks")))))</f>
      </c>
      <c r="L25" s="20">
        <f>IF(IF('Technology direction'!D25="",'Technology direction'!C25,'Technology direction'!D25)="","",IF(IF('Technology direction'!D25="",'Technology direction'!C25,'Technology direction'!D25)="1 Not AI","Automation or Fabric guidance",IF(IF('Technology direction'!D25="",'Technology direction'!C25,'Technology direction'!D25)="2 Ready-made","Ready-made agent enablement and an adoption workshop",IF(IF('Technology direction'!D25="",'Technology direction'!C25,'Technology direction'!D25)="3 Low-code","Copilot Studio enablement, plus a partner for connectors","An architecture design session, plus a partner for the build")))&amp;IF('Assurance and gate'!J25=4," - plus a responsible AI review",""))</f>
      </c>
      <c r="M25" s="20">
        <f>IF(B25="","",IF('Outcome contract'!C25="","The result, stated as an outcome with a number. ","")&amp;IF('Outcome contract'!E25="","Baseline today. ","")&amp;IF('Outcome contract'!F25="","Target. ","")&amp;IF('Outcome contract'!G25="","Owner for the build. ","")&amp;IF('Outcome contract'!H25="","Owner after go-live. ","")&amp;IF('Outcome contract'!I25="","The boundary: what it will refuse to do. ","")&amp;IF(COUNTBLANK('Outcome contract'!M25)&gt;0,"V1 how many people do this work today. ","")&amp;IF(COUNTBLANK('Outcome contract'!N25)&gt;0,"V2 how often it happens. ","")&amp;IF(COUNTBLANK('Outcome contract'!O25)&gt;0,"V3 how long it takes each time. ","")&amp;IF(COUNTBLANK('Outcome contract'!P25)&gt;0,"V4 how often it goes wrong and what that costs. ","")&amp;IF('Outcome contract'!S25="","V6 what happens to the time saved. ","")&amp;IF('Eight questions'!J25="","Data classification. ","")&amp;IF('Eight questions'!M25="","Whether the connection already exists. ","")&amp;IF('Eight questions'!O25="","What a wrong answer costs. ","")&amp;IF(AND('Eight questions'!J25="Regulated",'Eight questions'!I25=""),"Consent and residency position. ",""))</f>
      </c>
      <c r="N25" s="21">
        <f>IF(B25="","",(15-(IF('Outcome contract'!C25="",1,0)+IF('Outcome contract'!E25="",1,0)+IF('Outcome contract'!F25="",1,0)+IF('Outcome contract'!G25="",1,0)+IF('Outcome contract'!H25="",1,0)+IF('Outcome contract'!I25="",1,0)+COUNTBLANK('Outcome contract'!M25)+COUNTBLANK('Outcome contract'!N25)+COUNTBLANK('Outcome contract'!O25)+COUNTBLANK('Outcome contract'!P25)+IF('Outcome contract'!S25="",1,0)+IF('Eight questions'!J25="",1,0)+IF('Eight questions'!M25="",1,0)+IF('Eight questions'!O25="",1,0)+IF('Eight questions'!C25="",1,0)))/15)</f>
      </c>
    </row>
    <row r="26" ht="30" customHeight="1" spans="1:14" x14ac:dyDescent="0.25">
      <c r="A26" s="20">
        <f>IF(Register!A26="","",Register!A26)</f>
      </c>
      <c r="B26" s="20">
        <f>IF(Register!C26="","",Register!C26)</f>
      </c>
      <c r="C26" s="20">
        <f>IF(OR(IF(Register!U26="",Register!T26,Register!U26)="",'Eight questions'!F26="",'Eight questions'!J26="",'Eight questions'!L26="",'Eight questions'!M26="",'Eight questions'!O26=""),"",IF(AND(IF(Register!U26="",Register!T26,Register!U26)&lt;&gt;"Agent",VALUE(LEFT('Eight questions'!F26,1))&lt;=2,'Eight questions'!O26="Read only",OR('Eight questions'!J26="Public",'Eight questions'!J26="Internal"),OR('Eight questions'!L26="Nothing",'Eight questions'!L26="Static documents"),'Eight questions'!M26="Yes, in production"),"Quick win","No"))</f>
      </c>
      <c r="D26" s="20">
        <f>IF(C26&lt;&gt;"No","",IF(IF(Register!U26="",Register!T26,Register!U26)="Agent","It is an agent",IF(VALUE(LEFT('Eight questions'!F26,1))&gt;2,"Reach is tier 3 or above",IF('Eight questions'!O26&lt;&gt;"Read only","It is not read only - "&amp;'Eight questions'!O26,IF(OR('Eight questions'!J26="Confidential",'Eight questions'!J26="Regulated"),"Data class is "&amp;'Eight questions'!J26,IF(OR('Eight questions'!L26="Live system state",'Eight questions'!L26="Take an action",'Eight questions'!L26="Analytical data"),"The source is not static - "&amp;'Eight questions'!L26,IF('Eight questions'!M26&lt;&gt;"Yes, in production","The connection does not exist in production","")))))))</f>
      </c>
      <c r="E26" s="20">
        <f>IF('Assurance and gate'!K26="","",'Assurance and gate'!K26)</f>
      </c>
      <c r="F26" s="20">
        <f>IF('Eight questions'!M26="","",IF('Eight questions'!M26="No","Yes - programme work, not a quick win","No"))</f>
      </c>
      <c r="G26" s="20">
        <f>IF(IF('Technology direction'!D26="",'Technology direction'!C26,'Technology direction'!D26)="","",IF('Technology direction'!D26="",'Technology direction'!C26,'Technology direction'!D26)&amp;IF('Technology direction'!H26=""," "," - "&amp;'Technology direction'!H26)&amp;IF('Eight questions'!J26="Regulated"," - constrained by regulated data: a stated data location and private networking",IF('Eight questions'!J26="Confidential"," - constrained by confidential data: an explicit DLP policy and a named retention period","")))</f>
      </c>
      <c r="H26" s="20">
        <f>IF(IF('Technology direction'!D26="",'Technology direction'!C26,'Technology direction'!D26)="","",IF(IF('Technology direction'!D26="",'Technology direction'!C26,'Technology direction'!D26)="1 Not AI","Automation or data platform team",IF(IF('Technology direction'!D26="",'Technology direction'!C26,'Technology direction'!D26)="2 Ready-made","Workload team plus a Microsoft 365 administrator",IF(IF('Technology direction'!D26="",'Technology direction'!C26,'Technology direction'!D26)="3 Low-code","Workload team, a Copilot Studio maker, and the Platform team for connectors and DLP","Platform team, pro-code engineers, AI security and evaluation")))&amp;IF('Assurance and gate'!J26&gt;=3," - plus AI Centre of Excellence review",""))</f>
      </c>
      <c r="I26" s="20">
        <f>IF(IF('Technology direction'!D26="",'Technology direction'!C26,'Technology direction'!D26)="","",IF(IF('Technology direction'!D26="",'Technology direction'!C26,'Technology direction'!D26)="1 Not AI","Configuration: days to weeks",IF(IF('Technology direction'!D26="",'Technology direction'!C26,'Technology direction'!D26)="2 Ready-made","Configure and adopt: one to three weeks",IF(IF('Technology direction'!D26="",'Technology direction'!C26,'Technology direction'!D26)="3 Low-code","Low-code build: three to eight weeks",IF(IF('Technology direction'!D26="",'Technology direction'!C26,'Technology direction'!D26)="4 Pro-code","Pro-code build: two to six months","Platform build: six months or more"))))&amp;IF('Eight questions'!M26="No"," - integration-led, and the integration conversation comes first",""))</f>
      </c>
      <c r="J26" s="20">
        <f>IF('Assurance and gate'!J26="","",IF('Assurance and gate'!J26=1,"Standard guardrails only",IF('Assurance and gate'!J26=2,"Named owner spot-checks, plus platform monitoring",IF('Assurance and gate'!J26=3,"Measured pilot, scheduled re-evaluation and a decision gate","A staffed human control that recurs every time the process runs, monitoring, scheduled evaluation and a route to a person")))&amp;" - plus licences, credits and the monthly consumption review")</f>
      </c>
      <c r="K26" s="20">
        <f>IF(OR('Eight questions'!L26="",'Eight questions'!M26=""),"",IF('Eight questions'!M26="No","Months - integration-led",IF(OR('Eight questions'!L26="Live system state",'Eight questions'!L26="Take an action"),"Months",IF('Eight questions'!L26="Analytical data","Weeks to months",IF('Assurance and gate'!J26=4,"Weeks, plus a full assurance cycle","Weeks")))))</f>
      </c>
      <c r="L26" s="20">
        <f>IF(IF('Technology direction'!D26="",'Technology direction'!C26,'Technology direction'!D26)="","",IF(IF('Technology direction'!D26="",'Technology direction'!C26,'Technology direction'!D26)="1 Not AI","Automation or Fabric guidance",IF(IF('Technology direction'!D26="",'Technology direction'!C26,'Technology direction'!D26)="2 Ready-made","Ready-made agent enablement and an adoption workshop",IF(IF('Technology direction'!D26="",'Technology direction'!C26,'Technology direction'!D26)="3 Low-code","Copilot Studio enablement, plus a partner for connectors","An architecture design session, plus a partner for the build")))&amp;IF('Assurance and gate'!J26=4," - plus a responsible AI review",""))</f>
      </c>
      <c r="M26" s="20">
        <f>IF(B26="","",IF('Outcome contract'!C26="","The result, stated as an outcome with a number. ","")&amp;IF('Outcome contract'!E26="","Baseline today. ","")&amp;IF('Outcome contract'!F26="","Target. ","")&amp;IF('Outcome contract'!G26="","Owner for the build. ","")&amp;IF('Outcome contract'!H26="","Owner after go-live. ","")&amp;IF('Outcome contract'!I26="","The boundary: what it will refuse to do. ","")&amp;IF(COUNTBLANK('Outcome contract'!M26)&gt;0,"V1 how many people do this work today. ","")&amp;IF(COUNTBLANK('Outcome contract'!N26)&gt;0,"V2 how often it happens. ","")&amp;IF(COUNTBLANK('Outcome contract'!O26)&gt;0,"V3 how long it takes each time. ","")&amp;IF(COUNTBLANK('Outcome contract'!P26)&gt;0,"V4 how often it goes wrong and what that costs. ","")&amp;IF('Outcome contract'!S26="","V6 what happens to the time saved. ","")&amp;IF('Eight questions'!J26="","Data classification. ","")&amp;IF('Eight questions'!M26="","Whether the connection already exists. ","")&amp;IF('Eight questions'!O26="","What a wrong answer costs. ","")&amp;IF(AND('Eight questions'!J26="Regulated",'Eight questions'!I26=""),"Consent and residency position. ",""))</f>
      </c>
      <c r="N26" s="21">
        <f>IF(B26="","",(15-(IF('Outcome contract'!C26="",1,0)+IF('Outcome contract'!E26="",1,0)+IF('Outcome contract'!F26="",1,0)+IF('Outcome contract'!G26="",1,0)+IF('Outcome contract'!H26="",1,0)+IF('Outcome contract'!I26="",1,0)+COUNTBLANK('Outcome contract'!M26)+COUNTBLANK('Outcome contract'!N26)+COUNTBLANK('Outcome contract'!O26)+COUNTBLANK('Outcome contract'!P26)+IF('Outcome contract'!S26="",1,0)+IF('Eight questions'!J26="",1,0)+IF('Eight questions'!M26="",1,0)+IF('Eight questions'!O26="",1,0)+IF('Eight questions'!C26="",1,0)))/15)</f>
      </c>
    </row>
    <row r="27" ht="30" customHeight="1" spans="1:14" x14ac:dyDescent="0.25">
      <c r="A27" s="20">
        <f>IF(Register!A27="","",Register!A27)</f>
      </c>
      <c r="B27" s="20">
        <f>IF(Register!C27="","",Register!C27)</f>
      </c>
      <c r="C27" s="20">
        <f>IF(OR(IF(Register!U27="",Register!T27,Register!U27)="",'Eight questions'!F27="",'Eight questions'!J27="",'Eight questions'!L27="",'Eight questions'!M27="",'Eight questions'!O27=""),"",IF(AND(IF(Register!U27="",Register!T27,Register!U27)&lt;&gt;"Agent",VALUE(LEFT('Eight questions'!F27,1))&lt;=2,'Eight questions'!O27="Read only",OR('Eight questions'!J27="Public",'Eight questions'!J27="Internal"),OR('Eight questions'!L27="Nothing",'Eight questions'!L27="Static documents"),'Eight questions'!M27="Yes, in production"),"Quick win","No"))</f>
      </c>
      <c r="D27" s="20">
        <f>IF(C27&lt;&gt;"No","",IF(IF(Register!U27="",Register!T27,Register!U27)="Agent","It is an agent",IF(VALUE(LEFT('Eight questions'!F27,1))&gt;2,"Reach is tier 3 or above",IF('Eight questions'!O27&lt;&gt;"Read only","It is not read only - "&amp;'Eight questions'!O27,IF(OR('Eight questions'!J27="Confidential",'Eight questions'!J27="Regulated"),"Data class is "&amp;'Eight questions'!J27,IF(OR('Eight questions'!L27="Live system state",'Eight questions'!L27="Take an action",'Eight questions'!L27="Analytical data"),"The source is not static - "&amp;'Eight questions'!L27,IF('Eight questions'!M27&lt;&gt;"Yes, in production","The connection does not exist in production","")))))))</f>
      </c>
      <c r="E27" s="20">
        <f>IF('Assurance and gate'!K27="","",'Assurance and gate'!K27)</f>
      </c>
      <c r="F27" s="20">
        <f>IF('Eight questions'!M27="","",IF('Eight questions'!M27="No","Yes - programme work, not a quick win","No"))</f>
      </c>
      <c r="G27" s="20">
        <f>IF(IF('Technology direction'!D27="",'Technology direction'!C27,'Technology direction'!D27)="","",IF('Technology direction'!D27="",'Technology direction'!C27,'Technology direction'!D27)&amp;IF('Technology direction'!H27=""," "," - "&amp;'Technology direction'!H27)&amp;IF('Eight questions'!J27="Regulated"," - constrained by regulated data: a stated data location and private networking",IF('Eight questions'!J27="Confidential"," - constrained by confidential data: an explicit DLP policy and a named retention period","")))</f>
      </c>
      <c r="H27" s="20">
        <f>IF(IF('Technology direction'!D27="",'Technology direction'!C27,'Technology direction'!D27)="","",IF(IF('Technology direction'!D27="",'Technology direction'!C27,'Technology direction'!D27)="1 Not AI","Automation or data platform team",IF(IF('Technology direction'!D27="",'Technology direction'!C27,'Technology direction'!D27)="2 Ready-made","Workload team plus a Microsoft 365 administrator",IF(IF('Technology direction'!D27="",'Technology direction'!C27,'Technology direction'!D27)="3 Low-code","Workload team, a Copilot Studio maker, and the Platform team for connectors and DLP","Platform team, pro-code engineers, AI security and evaluation")))&amp;IF('Assurance and gate'!J27&gt;=3," - plus AI Centre of Excellence review",""))</f>
      </c>
      <c r="I27" s="20">
        <f>IF(IF('Technology direction'!D27="",'Technology direction'!C27,'Technology direction'!D27)="","",IF(IF('Technology direction'!D27="",'Technology direction'!C27,'Technology direction'!D27)="1 Not AI","Configuration: days to weeks",IF(IF('Technology direction'!D27="",'Technology direction'!C27,'Technology direction'!D27)="2 Ready-made","Configure and adopt: one to three weeks",IF(IF('Technology direction'!D27="",'Technology direction'!C27,'Technology direction'!D27)="3 Low-code","Low-code build: three to eight weeks",IF(IF('Technology direction'!D27="",'Technology direction'!C27,'Technology direction'!D27)="4 Pro-code","Pro-code build: two to six months","Platform build: six months or more"))))&amp;IF('Eight questions'!M27="No"," - integration-led, and the integration conversation comes first",""))</f>
      </c>
      <c r="J27" s="20">
        <f>IF('Assurance and gate'!J27="","",IF('Assurance and gate'!J27=1,"Standard guardrails only",IF('Assurance and gate'!J27=2,"Named owner spot-checks, plus platform monitoring",IF('Assurance and gate'!J27=3,"Measured pilot, scheduled re-evaluation and a decision gate","A staffed human control that recurs every time the process runs, monitoring, scheduled evaluation and a route to a person")))&amp;" - plus licences, credits and the monthly consumption review")</f>
      </c>
      <c r="K27" s="20">
        <f>IF(OR('Eight questions'!L27="",'Eight questions'!M27=""),"",IF('Eight questions'!M27="No","Months - integration-led",IF(OR('Eight questions'!L27="Live system state",'Eight questions'!L27="Take an action"),"Months",IF('Eight questions'!L27="Analytical data","Weeks to months",IF('Assurance and gate'!J27=4,"Weeks, plus a full assurance cycle","Weeks")))))</f>
      </c>
      <c r="L27" s="20">
        <f>IF(IF('Technology direction'!D27="",'Technology direction'!C27,'Technology direction'!D27)="","",IF(IF('Technology direction'!D27="",'Technology direction'!C27,'Technology direction'!D27)="1 Not AI","Automation or Fabric guidance",IF(IF('Technology direction'!D27="",'Technology direction'!C27,'Technology direction'!D27)="2 Ready-made","Ready-made agent enablement and an adoption workshop",IF(IF('Technology direction'!D27="",'Technology direction'!C27,'Technology direction'!D27)="3 Low-code","Copilot Studio enablement, plus a partner for connectors","An architecture design session, plus a partner for the build")))&amp;IF('Assurance and gate'!J27=4," - plus a responsible AI review",""))</f>
      </c>
      <c r="M27" s="20">
        <f>IF(B27="","",IF('Outcome contract'!C27="","The result, stated as an outcome with a number. ","")&amp;IF('Outcome contract'!E27="","Baseline today. ","")&amp;IF('Outcome contract'!F27="","Target. ","")&amp;IF('Outcome contract'!G27="","Owner for the build. ","")&amp;IF('Outcome contract'!H27="","Owner after go-live. ","")&amp;IF('Outcome contract'!I27="","The boundary: what it will refuse to do. ","")&amp;IF(COUNTBLANK('Outcome contract'!M27)&gt;0,"V1 how many people do this work today. ","")&amp;IF(COUNTBLANK('Outcome contract'!N27)&gt;0,"V2 how often it happens. ","")&amp;IF(COUNTBLANK('Outcome contract'!O27)&gt;0,"V3 how long it takes each time. ","")&amp;IF(COUNTBLANK('Outcome contract'!P27)&gt;0,"V4 how often it goes wrong and what that costs. ","")&amp;IF('Outcome contract'!S27="","V6 what happens to the time saved. ","")&amp;IF('Eight questions'!J27="","Data classification. ","")&amp;IF('Eight questions'!M27="","Whether the connection already exists. ","")&amp;IF('Eight questions'!O27="","What a wrong answer costs. ","")&amp;IF(AND('Eight questions'!J27="Regulated",'Eight questions'!I27=""),"Consent and residency position. ",""))</f>
      </c>
      <c r="N27" s="21">
        <f>IF(B27="","",(15-(IF('Outcome contract'!C27="",1,0)+IF('Outcome contract'!E27="",1,0)+IF('Outcome contract'!F27="",1,0)+IF('Outcome contract'!G27="",1,0)+IF('Outcome contract'!H27="",1,0)+IF('Outcome contract'!I27="",1,0)+COUNTBLANK('Outcome contract'!M27)+COUNTBLANK('Outcome contract'!N27)+COUNTBLANK('Outcome contract'!O27)+COUNTBLANK('Outcome contract'!P27)+IF('Outcome contract'!S27="",1,0)+IF('Eight questions'!J27="",1,0)+IF('Eight questions'!M27="",1,0)+IF('Eight questions'!O27="",1,0)+IF('Eight questions'!C27="",1,0)))/15)</f>
      </c>
    </row>
    <row r="28" ht="30" customHeight="1" spans="1:14" x14ac:dyDescent="0.25">
      <c r="A28" s="20">
        <f>IF(Register!A28="","",Register!A28)</f>
      </c>
      <c r="B28" s="20">
        <f>IF(Register!C28="","",Register!C28)</f>
      </c>
      <c r="C28" s="20">
        <f>IF(OR(IF(Register!U28="",Register!T28,Register!U28)="",'Eight questions'!F28="",'Eight questions'!J28="",'Eight questions'!L28="",'Eight questions'!M28="",'Eight questions'!O28=""),"",IF(AND(IF(Register!U28="",Register!T28,Register!U28)&lt;&gt;"Agent",VALUE(LEFT('Eight questions'!F28,1))&lt;=2,'Eight questions'!O28="Read only",OR('Eight questions'!J28="Public",'Eight questions'!J28="Internal"),OR('Eight questions'!L28="Nothing",'Eight questions'!L28="Static documents"),'Eight questions'!M28="Yes, in production"),"Quick win","No"))</f>
      </c>
      <c r="D28" s="20">
        <f>IF(C28&lt;&gt;"No","",IF(IF(Register!U28="",Register!T28,Register!U28)="Agent","It is an agent",IF(VALUE(LEFT('Eight questions'!F28,1))&gt;2,"Reach is tier 3 or above",IF('Eight questions'!O28&lt;&gt;"Read only","It is not read only - "&amp;'Eight questions'!O28,IF(OR('Eight questions'!J28="Confidential",'Eight questions'!J28="Regulated"),"Data class is "&amp;'Eight questions'!J28,IF(OR('Eight questions'!L28="Live system state",'Eight questions'!L28="Take an action",'Eight questions'!L28="Analytical data"),"The source is not static - "&amp;'Eight questions'!L28,IF('Eight questions'!M28&lt;&gt;"Yes, in production","The connection does not exist in production","")))))))</f>
      </c>
      <c r="E28" s="20">
        <f>IF('Assurance and gate'!K28="","",'Assurance and gate'!K28)</f>
      </c>
      <c r="F28" s="20">
        <f>IF('Eight questions'!M28="","",IF('Eight questions'!M28="No","Yes - programme work, not a quick win","No"))</f>
      </c>
      <c r="G28" s="20">
        <f>IF(IF('Technology direction'!D28="",'Technology direction'!C28,'Technology direction'!D28)="","",IF('Technology direction'!D28="",'Technology direction'!C28,'Technology direction'!D28)&amp;IF('Technology direction'!H28=""," "," - "&amp;'Technology direction'!H28)&amp;IF('Eight questions'!J28="Regulated"," - constrained by regulated data: a stated data location and private networking",IF('Eight questions'!J28="Confidential"," - constrained by confidential data: an explicit DLP policy and a named retention period","")))</f>
      </c>
      <c r="H28" s="20">
        <f>IF(IF('Technology direction'!D28="",'Technology direction'!C28,'Technology direction'!D28)="","",IF(IF('Technology direction'!D28="",'Technology direction'!C28,'Technology direction'!D28)="1 Not AI","Automation or data platform team",IF(IF('Technology direction'!D28="",'Technology direction'!C28,'Technology direction'!D28)="2 Ready-made","Workload team plus a Microsoft 365 administrator",IF(IF('Technology direction'!D28="",'Technology direction'!C28,'Technology direction'!D28)="3 Low-code","Workload team, a Copilot Studio maker, and the Platform team for connectors and DLP","Platform team, pro-code engineers, AI security and evaluation")))&amp;IF('Assurance and gate'!J28&gt;=3," - plus AI Centre of Excellence review",""))</f>
      </c>
      <c r="I28" s="20">
        <f>IF(IF('Technology direction'!D28="",'Technology direction'!C28,'Technology direction'!D28)="","",IF(IF('Technology direction'!D28="",'Technology direction'!C28,'Technology direction'!D28)="1 Not AI","Configuration: days to weeks",IF(IF('Technology direction'!D28="",'Technology direction'!C28,'Technology direction'!D28)="2 Ready-made","Configure and adopt: one to three weeks",IF(IF('Technology direction'!D28="",'Technology direction'!C28,'Technology direction'!D28)="3 Low-code","Low-code build: three to eight weeks",IF(IF('Technology direction'!D28="",'Technology direction'!C28,'Technology direction'!D28)="4 Pro-code","Pro-code build: two to six months","Platform build: six months or more"))))&amp;IF('Eight questions'!M28="No"," - integration-led, and the integration conversation comes first",""))</f>
      </c>
      <c r="J28" s="20">
        <f>IF('Assurance and gate'!J28="","",IF('Assurance and gate'!J28=1,"Standard guardrails only",IF('Assurance and gate'!J28=2,"Named owner spot-checks, plus platform monitoring",IF('Assurance and gate'!J28=3,"Measured pilot, scheduled re-evaluation and a decision gate","A staffed human control that recurs every time the process runs, monitoring, scheduled evaluation and a route to a person")))&amp;" - plus licences, credits and the monthly consumption review")</f>
      </c>
      <c r="K28" s="20">
        <f>IF(OR('Eight questions'!L28="",'Eight questions'!M28=""),"",IF('Eight questions'!M28="No","Months - integration-led",IF(OR('Eight questions'!L28="Live system state",'Eight questions'!L28="Take an action"),"Months",IF('Eight questions'!L28="Analytical data","Weeks to months",IF('Assurance and gate'!J28=4,"Weeks, plus a full assurance cycle","Weeks")))))</f>
      </c>
      <c r="L28" s="20">
        <f>IF(IF('Technology direction'!D28="",'Technology direction'!C28,'Technology direction'!D28)="","",IF(IF('Technology direction'!D28="",'Technology direction'!C28,'Technology direction'!D28)="1 Not AI","Automation or Fabric guidance",IF(IF('Technology direction'!D28="",'Technology direction'!C28,'Technology direction'!D28)="2 Ready-made","Ready-made agent enablement and an adoption workshop",IF(IF('Technology direction'!D28="",'Technology direction'!C28,'Technology direction'!D28)="3 Low-code","Copilot Studio enablement, plus a partner for connectors","An architecture design session, plus a partner for the build")))&amp;IF('Assurance and gate'!J28=4," - plus a responsible AI review",""))</f>
      </c>
      <c r="M28" s="20">
        <f>IF(B28="","",IF('Outcome contract'!C28="","The result, stated as an outcome with a number. ","")&amp;IF('Outcome contract'!E28="","Baseline today. ","")&amp;IF('Outcome contract'!F28="","Target. ","")&amp;IF('Outcome contract'!G28="","Owner for the build. ","")&amp;IF('Outcome contract'!H28="","Owner after go-live. ","")&amp;IF('Outcome contract'!I28="","The boundary: what it will refuse to do. ","")&amp;IF(COUNTBLANK('Outcome contract'!M28)&gt;0,"V1 how many people do this work today. ","")&amp;IF(COUNTBLANK('Outcome contract'!N28)&gt;0,"V2 how often it happens. ","")&amp;IF(COUNTBLANK('Outcome contract'!O28)&gt;0,"V3 how long it takes each time. ","")&amp;IF(COUNTBLANK('Outcome contract'!P28)&gt;0,"V4 how often it goes wrong and what that costs. ","")&amp;IF('Outcome contract'!S28="","V6 what happens to the time saved. ","")&amp;IF('Eight questions'!J28="","Data classification. ","")&amp;IF('Eight questions'!M28="","Whether the connection already exists. ","")&amp;IF('Eight questions'!O28="","What a wrong answer costs. ","")&amp;IF(AND('Eight questions'!J28="Regulated",'Eight questions'!I28=""),"Consent and residency position. ",""))</f>
      </c>
      <c r="N28" s="21">
        <f>IF(B28="","",(15-(IF('Outcome contract'!C28="",1,0)+IF('Outcome contract'!E28="",1,0)+IF('Outcome contract'!F28="",1,0)+IF('Outcome contract'!G28="",1,0)+IF('Outcome contract'!H28="",1,0)+IF('Outcome contract'!I28="",1,0)+COUNTBLANK('Outcome contract'!M28)+COUNTBLANK('Outcome contract'!N28)+COUNTBLANK('Outcome contract'!O28)+COUNTBLANK('Outcome contract'!P28)+IF('Outcome contract'!S28="",1,0)+IF('Eight questions'!J28="",1,0)+IF('Eight questions'!M28="",1,0)+IF('Eight questions'!O28="",1,0)+IF('Eight questions'!C28="",1,0)))/15)</f>
      </c>
    </row>
    <row r="29" ht="30" customHeight="1" spans="1:14" x14ac:dyDescent="0.25">
      <c r="A29" s="20">
        <f>IF(Register!A29="","",Register!A29)</f>
      </c>
      <c r="B29" s="20">
        <f>IF(Register!C29="","",Register!C29)</f>
      </c>
      <c r="C29" s="20">
        <f>IF(OR(IF(Register!U29="",Register!T29,Register!U29)="",'Eight questions'!F29="",'Eight questions'!J29="",'Eight questions'!L29="",'Eight questions'!M29="",'Eight questions'!O29=""),"",IF(AND(IF(Register!U29="",Register!T29,Register!U29)&lt;&gt;"Agent",VALUE(LEFT('Eight questions'!F29,1))&lt;=2,'Eight questions'!O29="Read only",OR('Eight questions'!J29="Public",'Eight questions'!J29="Internal"),OR('Eight questions'!L29="Nothing",'Eight questions'!L29="Static documents"),'Eight questions'!M29="Yes, in production"),"Quick win","No"))</f>
      </c>
      <c r="D29" s="20">
        <f>IF(C29&lt;&gt;"No","",IF(IF(Register!U29="",Register!T29,Register!U29)="Agent","It is an agent",IF(VALUE(LEFT('Eight questions'!F29,1))&gt;2,"Reach is tier 3 or above",IF('Eight questions'!O29&lt;&gt;"Read only","It is not read only - "&amp;'Eight questions'!O29,IF(OR('Eight questions'!J29="Confidential",'Eight questions'!J29="Regulated"),"Data class is "&amp;'Eight questions'!J29,IF(OR('Eight questions'!L29="Live system state",'Eight questions'!L29="Take an action",'Eight questions'!L29="Analytical data"),"The source is not static - "&amp;'Eight questions'!L29,IF('Eight questions'!M29&lt;&gt;"Yes, in production","The connection does not exist in production","")))))))</f>
      </c>
      <c r="E29" s="20">
        <f>IF('Assurance and gate'!K29="","",'Assurance and gate'!K29)</f>
      </c>
      <c r="F29" s="20">
        <f>IF('Eight questions'!M29="","",IF('Eight questions'!M29="No","Yes - programme work, not a quick win","No"))</f>
      </c>
      <c r="G29" s="20">
        <f>IF(IF('Technology direction'!D29="",'Technology direction'!C29,'Technology direction'!D29)="","",IF('Technology direction'!D29="",'Technology direction'!C29,'Technology direction'!D29)&amp;IF('Technology direction'!H29=""," "," - "&amp;'Technology direction'!H29)&amp;IF('Eight questions'!J29="Regulated"," - constrained by regulated data: a stated data location and private networking",IF('Eight questions'!J29="Confidential"," - constrained by confidential data: an explicit DLP policy and a named retention period","")))</f>
      </c>
      <c r="H29" s="20">
        <f>IF(IF('Technology direction'!D29="",'Technology direction'!C29,'Technology direction'!D29)="","",IF(IF('Technology direction'!D29="",'Technology direction'!C29,'Technology direction'!D29)="1 Not AI","Automation or data platform team",IF(IF('Technology direction'!D29="",'Technology direction'!C29,'Technology direction'!D29)="2 Ready-made","Workload team plus a Microsoft 365 administrator",IF(IF('Technology direction'!D29="",'Technology direction'!C29,'Technology direction'!D29)="3 Low-code","Workload team, a Copilot Studio maker, and the Platform team for connectors and DLP","Platform team, pro-code engineers, AI security and evaluation")))&amp;IF('Assurance and gate'!J29&gt;=3," - plus AI Centre of Excellence review",""))</f>
      </c>
      <c r="I29" s="20">
        <f>IF(IF('Technology direction'!D29="",'Technology direction'!C29,'Technology direction'!D29)="","",IF(IF('Technology direction'!D29="",'Technology direction'!C29,'Technology direction'!D29)="1 Not AI","Configuration: days to weeks",IF(IF('Technology direction'!D29="",'Technology direction'!C29,'Technology direction'!D29)="2 Ready-made","Configure and adopt: one to three weeks",IF(IF('Technology direction'!D29="",'Technology direction'!C29,'Technology direction'!D29)="3 Low-code","Low-code build: three to eight weeks",IF(IF('Technology direction'!D29="",'Technology direction'!C29,'Technology direction'!D29)="4 Pro-code","Pro-code build: two to six months","Platform build: six months or more"))))&amp;IF('Eight questions'!M29="No"," - integration-led, and the integration conversation comes first",""))</f>
      </c>
      <c r="J29" s="20">
        <f>IF('Assurance and gate'!J29="","",IF('Assurance and gate'!J29=1,"Standard guardrails only",IF('Assurance and gate'!J29=2,"Named owner spot-checks, plus platform monitoring",IF('Assurance and gate'!J29=3,"Measured pilot, scheduled re-evaluation and a decision gate","A staffed human control that recurs every time the process runs, monitoring, scheduled evaluation and a route to a person")))&amp;" - plus licences, credits and the monthly consumption review")</f>
      </c>
      <c r="K29" s="20">
        <f>IF(OR('Eight questions'!L29="",'Eight questions'!M29=""),"",IF('Eight questions'!M29="No","Months - integration-led",IF(OR('Eight questions'!L29="Live system state",'Eight questions'!L29="Take an action"),"Months",IF('Eight questions'!L29="Analytical data","Weeks to months",IF('Assurance and gate'!J29=4,"Weeks, plus a full assurance cycle","Weeks")))))</f>
      </c>
      <c r="L29" s="20">
        <f>IF(IF('Technology direction'!D29="",'Technology direction'!C29,'Technology direction'!D29)="","",IF(IF('Technology direction'!D29="",'Technology direction'!C29,'Technology direction'!D29)="1 Not AI","Automation or Fabric guidance",IF(IF('Technology direction'!D29="",'Technology direction'!C29,'Technology direction'!D29)="2 Ready-made","Ready-made agent enablement and an adoption workshop",IF(IF('Technology direction'!D29="",'Technology direction'!C29,'Technology direction'!D29)="3 Low-code","Copilot Studio enablement, plus a partner for connectors","An architecture design session, plus a partner for the build")))&amp;IF('Assurance and gate'!J29=4," - plus a responsible AI review",""))</f>
      </c>
      <c r="M29" s="20">
        <f>IF(B29="","",IF('Outcome contract'!C29="","The result, stated as an outcome with a number. ","")&amp;IF('Outcome contract'!E29="","Baseline today. ","")&amp;IF('Outcome contract'!F29="","Target. ","")&amp;IF('Outcome contract'!G29="","Owner for the build. ","")&amp;IF('Outcome contract'!H29="","Owner after go-live. ","")&amp;IF('Outcome contract'!I29="","The boundary: what it will refuse to do. ","")&amp;IF(COUNTBLANK('Outcome contract'!M29)&gt;0,"V1 how many people do this work today. ","")&amp;IF(COUNTBLANK('Outcome contract'!N29)&gt;0,"V2 how often it happens. ","")&amp;IF(COUNTBLANK('Outcome contract'!O29)&gt;0,"V3 how long it takes each time. ","")&amp;IF(COUNTBLANK('Outcome contract'!P29)&gt;0,"V4 how often it goes wrong and what that costs. ","")&amp;IF('Outcome contract'!S29="","V6 what happens to the time saved. ","")&amp;IF('Eight questions'!J29="","Data classification. ","")&amp;IF('Eight questions'!M29="","Whether the connection already exists. ","")&amp;IF('Eight questions'!O29="","What a wrong answer costs. ","")&amp;IF(AND('Eight questions'!J29="Regulated",'Eight questions'!I29=""),"Consent and residency position. ",""))</f>
      </c>
      <c r="N29" s="21">
        <f>IF(B29="","",(15-(IF('Outcome contract'!C29="",1,0)+IF('Outcome contract'!E29="",1,0)+IF('Outcome contract'!F29="",1,0)+IF('Outcome contract'!G29="",1,0)+IF('Outcome contract'!H29="",1,0)+IF('Outcome contract'!I29="",1,0)+COUNTBLANK('Outcome contract'!M29)+COUNTBLANK('Outcome contract'!N29)+COUNTBLANK('Outcome contract'!O29)+COUNTBLANK('Outcome contract'!P29)+IF('Outcome contract'!S29="",1,0)+IF('Eight questions'!J29="",1,0)+IF('Eight questions'!M29="",1,0)+IF('Eight questions'!O29="",1,0)+IF('Eight questions'!C29="",1,0)))/15)</f>
      </c>
    </row>
    <row r="30" ht="30" customHeight="1" spans="1:14" x14ac:dyDescent="0.25">
      <c r="A30" s="20">
        <f>IF(Register!A30="","",Register!A30)</f>
      </c>
      <c r="B30" s="20">
        <f>IF(Register!C30="","",Register!C30)</f>
      </c>
      <c r="C30" s="20">
        <f>IF(OR(IF(Register!U30="",Register!T30,Register!U30)="",'Eight questions'!F30="",'Eight questions'!J30="",'Eight questions'!L30="",'Eight questions'!M30="",'Eight questions'!O30=""),"",IF(AND(IF(Register!U30="",Register!T30,Register!U30)&lt;&gt;"Agent",VALUE(LEFT('Eight questions'!F30,1))&lt;=2,'Eight questions'!O30="Read only",OR('Eight questions'!J30="Public",'Eight questions'!J30="Internal"),OR('Eight questions'!L30="Nothing",'Eight questions'!L30="Static documents"),'Eight questions'!M30="Yes, in production"),"Quick win","No"))</f>
      </c>
      <c r="D30" s="20">
        <f>IF(C30&lt;&gt;"No","",IF(IF(Register!U30="",Register!T30,Register!U30)="Agent","It is an agent",IF(VALUE(LEFT('Eight questions'!F30,1))&gt;2,"Reach is tier 3 or above",IF('Eight questions'!O30&lt;&gt;"Read only","It is not read only - "&amp;'Eight questions'!O30,IF(OR('Eight questions'!J30="Confidential",'Eight questions'!J30="Regulated"),"Data class is "&amp;'Eight questions'!J30,IF(OR('Eight questions'!L30="Live system state",'Eight questions'!L30="Take an action",'Eight questions'!L30="Analytical data"),"The source is not static - "&amp;'Eight questions'!L30,IF('Eight questions'!M30&lt;&gt;"Yes, in production","The connection does not exist in production","")))))))</f>
      </c>
      <c r="E30" s="20">
        <f>IF('Assurance and gate'!K30="","",'Assurance and gate'!K30)</f>
      </c>
      <c r="F30" s="20">
        <f>IF('Eight questions'!M30="","",IF('Eight questions'!M30="No","Yes - programme work, not a quick win","No"))</f>
      </c>
      <c r="G30" s="20">
        <f>IF(IF('Technology direction'!D30="",'Technology direction'!C30,'Technology direction'!D30)="","",IF('Technology direction'!D30="",'Technology direction'!C30,'Technology direction'!D30)&amp;IF('Technology direction'!H30=""," "," - "&amp;'Technology direction'!H30)&amp;IF('Eight questions'!J30="Regulated"," - constrained by regulated data: a stated data location and private networking",IF('Eight questions'!J30="Confidential"," - constrained by confidential data: an explicit DLP policy and a named retention period","")))</f>
      </c>
      <c r="H30" s="20">
        <f>IF(IF('Technology direction'!D30="",'Technology direction'!C30,'Technology direction'!D30)="","",IF(IF('Technology direction'!D30="",'Technology direction'!C30,'Technology direction'!D30)="1 Not AI","Automation or data platform team",IF(IF('Technology direction'!D30="",'Technology direction'!C30,'Technology direction'!D30)="2 Ready-made","Workload team plus a Microsoft 365 administrator",IF(IF('Technology direction'!D30="",'Technology direction'!C30,'Technology direction'!D30)="3 Low-code","Workload team, a Copilot Studio maker, and the Platform team for connectors and DLP","Platform team, pro-code engineers, AI security and evaluation")))&amp;IF('Assurance and gate'!J30&gt;=3," - plus AI Centre of Excellence review",""))</f>
      </c>
      <c r="I30" s="20">
        <f>IF(IF('Technology direction'!D30="",'Technology direction'!C30,'Technology direction'!D30)="","",IF(IF('Technology direction'!D30="",'Technology direction'!C30,'Technology direction'!D30)="1 Not AI","Configuration: days to weeks",IF(IF('Technology direction'!D30="",'Technology direction'!C30,'Technology direction'!D30)="2 Ready-made","Configure and adopt: one to three weeks",IF(IF('Technology direction'!D30="",'Technology direction'!C30,'Technology direction'!D30)="3 Low-code","Low-code build: three to eight weeks",IF(IF('Technology direction'!D30="",'Technology direction'!C30,'Technology direction'!D30)="4 Pro-code","Pro-code build: two to six months","Platform build: six months or more"))))&amp;IF('Eight questions'!M30="No"," - integration-led, and the integration conversation comes first",""))</f>
      </c>
      <c r="J30" s="20">
        <f>IF('Assurance and gate'!J30="","",IF('Assurance and gate'!J30=1,"Standard guardrails only",IF('Assurance and gate'!J30=2,"Named owner spot-checks, plus platform monitoring",IF('Assurance and gate'!J30=3,"Measured pilot, scheduled re-evaluation and a decision gate","A staffed human control that recurs every time the process runs, monitoring, scheduled evaluation and a route to a person")))&amp;" - plus licences, credits and the monthly consumption review")</f>
      </c>
      <c r="K30" s="20">
        <f>IF(OR('Eight questions'!L30="",'Eight questions'!M30=""),"",IF('Eight questions'!M30="No","Months - integration-led",IF(OR('Eight questions'!L30="Live system state",'Eight questions'!L30="Take an action"),"Months",IF('Eight questions'!L30="Analytical data","Weeks to months",IF('Assurance and gate'!J30=4,"Weeks, plus a full assurance cycle","Weeks")))))</f>
      </c>
      <c r="L30" s="20">
        <f>IF(IF('Technology direction'!D30="",'Technology direction'!C30,'Technology direction'!D30)="","",IF(IF('Technology direction'!D30="",'Technology direction'!C30,'Technology direction'!D30)="1 Not AI","Automation or Fabric guidance",IF(IF('Technology direction'!D30="",'Technology direction'!C30,'Technology direction'!D30)="2 Ready-made","Ready-made agent enablement and an adoption workshop",IF(IF('Technology direction'!D30="",'Technology direction'!C30,'Technology direction'!D30)="3 Low-code","Copilot Studio enablement, plus a partner for connectors","An architecture design session, plus a partner for the build")))&amp;IF('Assurance and gate'!J30=4," - plus a responsible AI review",""))</f>
      </c>
      <c r="M30" s="20">
        <f>IF(B30="","",IF('Outcome contract'!C30="","The result, stated as an outcome with a number. ","")&amp;IF('Outcome contract'!E30="","Baseline today. ","")&amp;IF('Outcome contract'!F30="","Target. ","")&amp;IF('Outcome contract'!G30="","Owner for the build. ","")&amp;IF('Outcome contract'!H30="","Owner after go-live. ","")&amp;IF('Outcome contract'!I30="","The boundary: what it will refuse to do. ","")&amp;IF(COUNTBLANK('Outcome contract'!M30)&gt;0,"V1 how many people do this work today. ","")&amp;IF(COUNTBLANK('Outcome contract'!N30)&gt;0,"V2 how often it happens. ","")&amp;IF(COUNTBLANK('Outcome contract'!O30)&gt;0,"V3 how long it takes each time. ","")&amp;IF(COUNTBLANK('Outcome contract'!P30)&gt;0,"V4 how often it goes wrong and what that costs. ","")&amp;IF('Outcome contract'!S30="","V6 what happens to the time saved. ","")&amp;IF('Eight questions'!J30="","Data classification. ","")&amp;IF('Eight questions'!M30="","Whether the connection already exists. ","")&amp;IF('Eight questions'!O30="","What a wrong answer costs. ","")&amp;IF(AND('Eight questions'!J30="Regulated",'Eight questions'!I30=""),"Consent and residency position. ",""))</f>
      </c>
      <c r="N30" s="21">
        <f>IF(B30="","",(15-(IF('Outcome contract'!C30="",1,0)+IF('Outcome contract'!E30="",1,0)+IF('Outcome contract'!F30="",1,0)+IF('Outcome contract'!G30="",1,0)+IF('Outcome contract'!H30="",1,0)+IF('Outcome contract'!I30="",1,0)+COUNTBLANK('Outcome contract'!M30)+COUNTBLANK('Outcome contract'!N30)+COUNTBLANK('Outcome contract'!O30)+COUNTBLANK('Outcome contract'!P30)+IF('Outcome contract'!S30="",1,0)+IF('Eight questions'!J30="",1,0)+IF('Eight questions'!M30="",1,0)+IF('Eight questions'!O30="",1,0)+IF('Eight questions'!C30="",1,0)))/15)</f>
      </c>
    </row>
    <row r="31" ht="30" customHeight="1" spans="1:14" x14ac:dyDescent="0.25">
      <c r="A31" s="20">
        <f>IF(Register!A31="","",Register!A31)</f>
      </c>
      <c r="B31" s="20">
        <f>IF(Register!C31="","",Register!C31)</f>
      </c>
      <c r="C31" s="20">
        <f>IF(OR(IF(Register!U31="",Register!T31,Register!U31)="",'Eight questions'!F31="",'Eight questions'!J31="",'Eight questions'!L31="",'Eight questions'!M31="",'Eight questions'!O31=""),"",IF(AND(IF(Register!U31="",Register!T31,Register!U31)&lt;&gt;"Agent",VALUE(LEFT('Eight questions'!F31,1))&lt;=2,'Eight questions'!O31="Read only",OR('Eight questions'!J31="Public",'Eight questions'!J31="Internal"),OR('Eight questions'!L31="Nothing",'Eight questions'!L31="Static documents"),'Eight questions'!M31="Yes, in production"),"Quick win","No"))</f>
      </c>
      <c r="D31" s="20">
        <f>IF(C31&lt;&gt;"No","",IF(IF(Register!U31="",Register!T31,Register!U31)="Agent","It is an agent",IF(VALUE(LEFT('Eight questions'!F31,1))&gt;2,"Reach is tier 3 or above",IF('Eight questions'!O31&lt;&gt;"Read only","It is not read only - "&amp;'Eight questions'!O31,IF(OR('Eight questions'!J31="Confidential",'Eight questions'!J31="Regulated"),"Data class is "&amp;'Eight questions'!J31,IF(OR('Eight questions'!L31="Live system state",'Eight questions'!L31="Take an action",'Eight questions'!L31="Analytical data"),"The source is not static - "&amp;'Eight questions'!L31,IF('Eight questions'!M31&lt;&gt;"Yes, in production","The connection does not exist in production","")))))))</f>
      </c>
      <c r="E31" s="20">
        <f>IF('Assurance and gate'!K31="","",'Assurance and gate'!K31)</f>
      </c>
      <c r="F31" s="20">
        <f>IF('Eight questions'!M31="","",IF('Eight questions'!M31="No","Yes - programme work, not a quick win","No"))</f>
      </c>
      <c r="G31" s="20">
        <f>IF(IF('Technology direction'!D31="",'Technology direction'!C31,'Technology direction'!D31)="","",IF('Technology direction'!D31="",'Technology direction'!C31,'Technology direction'!D31)&amp;IF('Technology direction'!H31=""," "," - "&amp;'Technology direction'!H31)&amp;IF('Eight questions'!J31="Regulated"," - constrained by regulated data: a stated data location and private networking",IF('Eight questions'!J31="Confidential"," - constrained by confidential data: an explicit DLP policy and a named retention period","")))</f>
      </c>
      <c r="H31" s="20">
        <f>IF(IF('Technology direction'!D31="",'Technology direction'!C31,'Technology direction'!D31)="","",IF(IF('Technology direction'!D31="",'Technology direction'!C31,'Technology direction'!D31)="1 Not AI","Automation or data platform team",IF(IF('Technology direction'!D31="",'Technology direction'!C31,'Technology direction'!D31)="2 Ready-made","Workload team plus a Microsoft 365 administrator",IF(IF('Technology direction'!D31="",'Technology direction'!C31,'Technology direction'!D31)="3 Low-code","Workload team, a Copilot Studio maker, and the Platform team for connectors and DLP","Platform team, pro-code engineers, AI security and evaluation")))&amp;IF('Assurance and gate'!J31&gt;=3," - plus AI Centre of Excellence review",""))</f>
      </c>
      <c r="I31" s="20">
        <f>IF(IF('Technology direction'!D31="",'Technology direction'!C31,'Technology direction'!D31)="","",IF(IF('Technology direction'!D31="",'Technology direction'!C31,'Technology direction'!D31)="1 Not AI","Configuration: days to weeks",IF(IF('Technology direction'!D31="",'Technology direction'!C31,'Technology direction'!D31)="2 Ready-made","Configure and adopt: one to three weeks",IF(IF('Technology direction'!D31="",'Technology direction'!C31,'Technology direction'!D31)="3 Low-code","Low-code build: three to eight weeks",IF(IF('Technology direction'!D31="",'Technology direction'!C31,'Technology direction'!D31)="4 Pro-code","Pro-code build: two to six months","Platform build: six months or more"))))&amp;IF('Eight questions'!M31="No"," - integration-led, and the integration conversation comes first",""))</f>
      </c>
      <c r="J31" s="20">
        <f>IF('Assurance and gate'!J31="","",IF('Assurance and gate'!J31=1,"Standard guardrails only",IF('Assurance and gate'!J31=2,"Named owner spot-checks, plus platform monitoring",IF('Assurance and gate'!J31=3,"Measured pilot, scheduled re-evaluation and a decision gate","A staffed human control that recurs every time the process runs, monitoring, scheduled evaluation and a route to a person")))&amp;" - plus licences, credits and the monthly consumption review")</f>
      </c>
      <c r="K31" s="20">
        <f>IF(OR('Eight questions'!L31="",'Eight questions'!M31=""),"",IF('Eight questions'!M31="No","Months - integration-led",IF(OR('Eight questions'!L31="Live system state",'Eight questions'!L31="Take an action"),"Months",IF('Eight questions'!L31="Analytical data","Weeks to months",IF('Assurance and gate'!J31=4,"Weeks, plus a full assurance cycle","Weeks")))))</f>
      </c>
      <c r="L31" s="20">
        <f>IF(IF('Technology direction'!D31="",'Technology direction'!C31,'Technology direction'!D31)="","",IF(IF('Technology direction'!D31="",'Technology direction'!C31,'Technology direction'!D31)="1 Not AI","Automation or Fabric guidance",IF(IF('Technology direction'!D31="",'Technology direction'!C31,'Technology direction'!D31)="2 Ready-made","Ready-made agent enablement and an adoption workshop",IF(IF('Technology direction'!D31="",'Technology direction'!C31,'Technology direction'!D31)="3 Low-code","Copilot Studio enablement, plus a partner for connectors","An architecture design session, plus a partner for the build")))&amp;IF('Assurance and gate'!J31=4," - plus a responsible AI review",""))</f>
      </c>
      <c r="M31" s="20">
        <f>IF(B31="","",IF('Outcome contract'!C31="","The result, stated as an outcome with a number. ","")&amp;IF('Outcome contract'!E31="","Baseline today. ","")&amp;IF('Outcome contract'!F31="","Target. ","")&amp;IF('Outcome contract'!G31="","Owner for the build. ","")&amp;IF('Outcome contract'!H31="","Owner after go-live. ","")&amp;IF('Outcome contract'!I31="","The boundary: what it will refuse to do. ","")&amp;IF(COUNTBLANK('Outcome contract'!M31)&gt;0,"V1 how many people do this work today. ","")&amp;IF(COUNTBLANK('Outcome contract'!N31)&gt;0,"V2 how often it happens. ","")&amp;IF(COUNTBLANK('Outcome contract'!O31)&gt;0,"V3 how long it takes each time. ","")&amp;IF(COUNTBLANK('Outcome contract'!P31)&gt;0,"V4 how often it goes wrong and what that costs. ","")&amp;IF('Outcome contract'!S31="","V6 what happens to the time saved. ","")&amp;IF('Eight questions'!J31="","Data classification. ","")&amp;IF('Eight questions'!M31="","Whether the connection already exists. ","")&amp;IF('Eight questions'!O31="","What a wrong answer costs. ","")&amp;IF(AND('Eight questions'!J31="Regulated",'Eight questions'!I31=""),"Consent and residency position. ",""))</f>
      </c>
      <c r="N31" s="21">
        <f>IF(B31="","",(15-(IF('Outcome contract'!C31="",1,0)+IF('Outcome contract'!E31="",1,0)+IF('Outcome contract'!F31="",1,0)+IF('Outcome contract'!G31="",1,0)+IF('Outcome contract'!H31="",1,0)+IF('Outcome contract'!I31="",1,0)+COUNTBLANK('Outcome contract'!M31)+COUNTBLANK('Outcome contract'!N31)+COUNTBLANK('Outcome contract'!O31)+COUNTBLANK('Outcome contract'!P31)+IF('Outcome contract'!S31="",1,0)+IF('Eight questions'!J31="",1,0)+IF('Eight questions'!M31="",1,0)+IF('Eight questions'!O31="",1,0)+IF('Eight questions'!C31="",1,0)))/15)</f>
      </c>
    </row>
    <row r="32" ht="30" customHeight="1" spans="1:14" x14ac:dyDescent="0.25">
      <c r="A32" s="20">
        <f>IF(Register!A32="","",Register!A32)</f>
      </c>
      <c r="B32" s="20">
        <f>IF(Register!C32="","",Register!C32)</f>
      </c>
      <c r="C32" s="20">
        <f>IF(OR(IF(Register!U32="",Register!T32,Register!U32)="",'Eight questions'!F32="",'Eight questions'!J32="",'Eight questions'!L32="",'Eight questions'!M32="",'Eight questions'!O32=""),"",IF(AND(IF(Register!U32="",Register!T32,Register!U32)&lt;&gt;"Agent",VALUE(LEFT('Eight questions'!F32,1))&lt;=2,'Eight questions'!O32="Read only",OR('Eight questions'!J32="Public",'Eight questions'!J32="Internal"),OR('Eight questions'!L32="Nothing",'Eight questions'!L32="Static documents"),'Eight questions'!M32="Yes, in production"),"Quick win","No"))</f>
      </c>
      <c r="D32" s="20">
        <f>IF(C32&lt;&gt;"No","",IF(IF(Register!U32="",Register!T32,Register!U32)="Agent","It is an agent",IF(VALUE(LEFT('Eight questions'!F32,1))&gt;2,"Reach is tier 3 or above",IF('Eight questions'!O32&lt;&gt;"Read only","It is not read only - "&amp;'Eight questions'!O32,IF(OR('Eight questions'!J32="Confidential",'Eight questions'!J32="Regulated"),"Data class is "&amp;'Eight questions'!J32,IF(OR('Eight questions'!L32="Live system state",'Eight questions'!L32="Take an action",'Eight questions'!L32="Analytical data"),"The source is not static - "&amp;'Eight questions'!L32,IF('Eight questions'!M32&lt;&gt;"Yes, in production","The connection does not exist in production","")))))))</f>
      </c>
      <c r="E32" s="20">
        <f>IF('Assurance and gate'!K32="","",'Assurance and gate'!K32)</f>
      </c>
      <c r="F32" s="20">
        <f>IF('Eight questions'!M32="","",IF('Eight questions'!M32="No","Yes - programme work, not a quick win","No"))</f>
      </c>
      <c r="G32" s="20">
        <f>IF(IF('Technology direction'!D32="",'Technology direction'!C32,'Technology direction'!D32)="","",IF('Technology direction'!D32="",'Technology direction'!C32,'Technology direction'!D32)&amp;IF('Technology direction'!H32=""," "," - "&amp;'Technology direction'!H32)&amp;IF('Eight questions'!J32="Regulated"," - constrained by regulated data: a stated data location and private networking",IF('Eight questions'!J32="Confidential"," - constrained by confidential data: an explicit DLP policy and a named retention period","")))</f>
      </c>
      <c r="H32" s="20">
        <f>IF(IF('Technology direction'!D32="",'Technology direction'!C32,'Technology direction'!D32)="","",IF(IF('Technology direction'!D32="",'Technology direction'!C32,'Technology direction'!D32)="1 Not AI","Automation or data platform team",IF(IF('Technology direction'!D32="",'Technology direction'!C32,'Technology direction'!D32)="2 Ready-made","Workload team plus a Microsoft 365 administrator",IF(IF('Technology direction'!D32="",'Technology direction'!C32,'Technology direction'!D32)="3 Low-code","Workload team, a Copilot Studio maker, and the Platform team for connectors and DLP","Platform team, pro-code engineers, AI security and evaluation")))&amp;IF('Assurance and gate'!J32&gt;=3," - plus AI Centre of Excellence review",""))</f>
      </c>
      <c r="I32" s="20">
        <f>IF(IF('Technology direction'!D32="",'Technology direction'!C32,'Technology direction'!D32)="","",IF(IF('Technology direction'!D32="",'Technology direction'!C32,'Technology direction'!D32)="1 Not AI","Configuration: days to weeks",IF(IF('Technology direction'!D32="",'Technology direction'!C32,'Technology direction'!D32)="2 Ready-made","Configure and adopt: one to three weeks",IF(IF('Technology direction'!D32="",'Technology direction'!C32,'Technology direction'!D32)="3 Low-code","Low-code build: three to eight weeks",IF(IF('Technology direction'!D32="",'Technology direction'!C32,'Technology direction'!D32)="4 Pro-code","Pro-code build: two to six months","Platform build: six months or more"))))&amp;IF('Eight questions'!M32="No"," - integration-led, and the integration conversation comes first",""))</f>
      </c>
      <c r="J32" s="20">
        <f>IF('Assurance and gate'!J32="","",IF('Assurance and gate'!J32=1,"Standard guardrails only",IF('Assurance and gate'!J32=2,"Named owner spot-checks, plus platform monitoring",IF('Assurance and gate'!J32=3,"Measured pilot, scheduled re-evaluation and a decision gate","A staffed human control that recurs every time the process runs, monitoring, scheduled evaluation and a route to a person")))&amp;" - plus licences, credits and the monthly consumption review")</f>
      </c>
      <c r="K32" s="20">
        <f>IF(OR('Eight questions'!L32="",'Eight questions'!M32=""),"",IF('Eight questions'!M32="No","Months - integration-led",IF(OR('Eight questions'!L32="Live system state",'Eight questions'!L32="Take an action"),"Months",IF('Eight questions'!L32="Analytical data","Weeks to months",IF('Assurance and gate'!J32=4,"Weeks, plus a full assurance cycle","Weeks")))))</f>
      </c>
      <c r="L32" s="20">
        <f>IF(IF('Technology direction'!D32="",'Technology direction'!C32,'Technology direction'!D32)="","",IF(IF('Technology direction'!D32="",'Technology direction'!C32,'Technology direction'!D32)="1 Not AI","Automation or Fabric guidance",IF(IF('Technology direction'!D32="",'Technology direction'!C32,'Technology direction'!D32)="2 Ready-made","Ready-made agent enablement and an adoption workshop",IF(IF('Technology direction'!D32="",'Technology direction'!C32,'Technology direction'!D32)="3 Low-code","Copilot Studio enablement, plus a partner for connectors","An architecture design session, plus a partner for the build")))&amp;IF('Assurance and gate'!J32=4," - plus a responsible AI review",""))</f>
      </c>
      <c r="M32" s="20">
        <f>IF(B32="","",IF('Outcome contract'!C32="","The result, stated as an outcome with a number. ","")&amp;IF('Outcome contract'!E32="","Baseline today. ","")&amp;IF('Outcome contract'!F32="","Target. ","")&amp;IF('Outcome contract'!G32="","Owner for the build. ","")&amp;IF('Outcome contract'!H32="","Owner after go-live. ","")&amp;IF('Outcome contract'!I32="","The boundary: what it will refuse to do. ","")&amp;IF(COUNTBLANK('Outcome contract'!M32)&gt;0,"V1 how many people do this work today. ","")&amp;IF(COUNTBLANK('Outcome contract'!N32)&gt;0,"V2 how often it happens. ","")&amp;IF(COUNTBLANK('Outcome contract'!O32)&gt;0,"V3 how long it takes each time. ","")&amp;IF(COUNTBLANK('Outcome contract'!P32)&gt;0,"V4 how often it goes wrong and what that costs. ","")&amp;IF('Outcome contract'!S32="","V6 what happens to the time saved. ","")&amp;IF('Eight questions'!J32="","Data classification. ","")&amp;IF('Eight questions'!M32="","Whether the connection already exists. ","")&amp;IF('Eight questions'!O32="","What a wrong answer costs. ","")&amp;IF(AND('Eight questions'!J32="Regulated",'Eight questions'!I32=""),"Consent and residency position. ",""))</f>
      </c>
      <c r="N32" s="21">
        <f>IF(B32="","",(15-(IF('Outcome contract'!C32="",1,0)+IF('Outcome contract'!E32="",1,0)+IF('Outcome contract'!F32="",1,0)+IF('Outcome contract'!G32="",1,0)+IF('Outcome contract'!H32="",1,0)+IF('Outcome contract'!I32="",1,0)+COUNTBLANK('Outcome contract'!M32)+COUNTBLANK('Outcome contract'!N32)+COUNTBLANK('Outcome contract'!O32)+COUNTBLANK('Outcome contract'!P32)+IF('Outcome contract'!S32="",1,0)+IF('Eight questions'!J32="",1,0)+IF('Eight questions'!M32="",1,0)+IF('Eight questions'!O32="",1,0)+IF('Eight questions'!C32="",1,0)))/15)</f>
      </c>
    </row>
    <row r="33" ht="30" customHeight="1" spans="1:14" x14ac:dyDescent="0.25">
      <c r="A33" s="20">
        <f>IF(Register!A33="","",Register!A33)</f>
      </c>
      <c r="B33" s="20">
        <f>IF(Register!C33="","",Register!C33)</f>
      </c>
      <c r="C33" s="20">
        <f>IF(OR(IF(Register!U33="",Register!T33,Register!U33)="",'Eight questions'!F33="",'Eight questions'!J33="",'Eight questions'!L33="",'Eight questions'!M33="",'Eight questions'!O33=""),"",IF(AND(IF(Register!U33="",Register!T33,Register!U33)&lt;&gt;"Agent",VALUE(LEFT('Eight questions'!F33,1))&lt;=2,'Eight questions'!O33="Read only",OR('Eight questions'!J33="Public",'Eight questions'!J33="Internal"),OR('Eight questions'!L33="Nothing",'Eight questions'!L33="Static documents"),'Eight questions'!M33="Yes, in production"),"Quick win","No"))</f>
      </c>
      <c r="D33" s="20">
        <f>IF(C33&lt;&gt;"No","",IF(IF(Register!U33="",Register!T33,Register!U33)="Agent","It is an agent",IF(VALUE(LEFT('Eight questions'!F33,1))&gt;2,"Reach is tier 3 or above",IF('Eight questions'!O33&lt;&gt;"Read only","It is not read only - "&amp;'Eight questions'!O33,IF(OR('Eight questions'!J33="Confidential",'Eight questions'!J33="Regulated"),"Data class is "&amp;'Eight questions'!J33,IF(OR('Eight questions'!L33="Live system state",'Eight questions'!L33="Take an action",'Eight questions'!L33="Analytical data"),"The source is not static - "&amp;'Eight questions'!L33,IF('Eight questions'!M33&lt;&gt;"Yes, in production","The connection does not exist in production","")))))))</f>
      </c>
      <c r="E33" s="20">
        <f>IF('Assurance and gate'!K33="","",'Assurance and gate'!K33)</f>
      </c>
      <c r="F33" s="20">
        <f>IF('Eight questions'!M33="","",IF('Eight questions'!M33="No","Yes - programme work, not a quick win","No"))</f>
      </c>
      <c r="G33" s="20">
        <f>IF(IF('Technology direction'!D33="",'Technology direction'!C33,'Technology direction'!D33)="","",IF('Technology direction'!D33="",'Technology direction'!C33,'Technology direction'!D33)&amp;IF('Technology direction'!H33=""," "," - "&amp;'Technology direction'!H33)&amp;IF('Eight questions'!J33="Regulated"," - constrained by regulated data: a stated data location and private networking",IF('Eight questions'!J33="Confidential"," - constrained by confidential data: an explicit DLP policy and a named retention period","")))</f>
      </c>
      <c r="H33" s="20">
        <f>IF(IF('Technology direction'!D33="",'Technology direction'!C33,'Technology direction'!D33)="","",IF(IF('Technology direction'!D33="",'Technology direction'!C33,'Technology direction'!D33)="1 Not AI","Automation or data platform team",IF(IF('Technology direction'!D33="",'Technology direction'!C33,'Technology direction'!D33)="2 Ready-made","Workload team plus a Microsoft 365 administrator",IF(IF('Technology direction'!D33="",'Technology direction'!C33,'Technology direction'!D33)="3 Low-code","Workload team, a Copilot Studio maker, and the Platform team for connectors and DLP","Platform team, pro-code engineers, AI security and evaluation")))&amp;IF('Assurance and gate'!J33&gt;=3," - plus AI Centre of Excellence review",""))</f>
      </c>
      <c r="I33" s="20">
        <f>IF(IF('Technology direction'!D33="",'Technology direction'!C33,'Technology direction'!D33)="","",IF(IF('Technology direction'!D33="",'Technology direction'!C33,'Technology direction'!D33)="1 Not AI","Configuration: days to weeks",IF(IF('Technology direction'!D33="",'Technology direction'!C33,'Technology direction'!D33)="2 Ready-made","Configure and adopt: one to three weeks",IF(IF('Technology direction'!D33="",'Technology direction'!C33,'Technology direction'!D33)="3 Low-code","Low-code build: three to eight weeks",IF(IF('Technology direction'!D33="",'Technology direction'!C33,'Technology direction'!D33)="4 Pro-code","Pro-code build: two to six months","Platform build: six months or more"))))&amp;IF('Eight questions'!M33="No"," - integration-led, and the integration conversation comes first",""))</f>
      </c>
      <c r="J33" s="20">
        <f>IF('Assurance and gate'!J33="","",IF('Assurance and gate'!J33=1,"Standard guardrails only",IF('Assurance and gate'!J33=2,"Named owner spot-checks, plus platform monitoring",IF('Assurance and gate'!J33=3,"Measured pilot, scheduled re-evaluation and a decision gate","A staffed human control that recurs every time the process runs, monitoring, scheduled evaluation and a route to a person")))&amp;" - plus licences, credits and the monthly consumption review")</f>
      </c>
      <c r="K33" s="20">
        <f>IF(OR('Eight questions'!L33="",'Eight questions'!M33=""),"",IF('Eight questions'!M33="No","Months - integration-led",IF(OR('Eight questions'!L33="Live system state",'Eight questions'!L33="Take an action"),"Months",IF('Eight questions'!L33="Analytical data","Weeks to months",IF('Assurance and gate'!J33=4,"Weeks, plus a full assurance cycle","Weeks")))))</f>
      </c>
      <c r="L33" s="20">
        <f>IF(IF('Technology direction'!D33="",'Technology direction'!C33,'Technology direction'!D33)="","",IF(IF('Technology direction'!D33="",'Technology direction'!C33,'Technology direction'!D33)="1 Not AI","Automation or Fabric guidance",IF(IF('Technology direction'!D33="",'Technology direction'!C33,'Technology direction'!D33)="2 Ready-made","Ready-made agent enablement and an adoption workshop",IF(IF('Technology direction'!D33="",'Technology direction'!C33,'Technology direction'!D33)="3 Low-code","Copilot Studio enablement, plus a partner for connectors","An architecture design session, plus a partner for the build")))&amp;IF('Assurance and gate'!J33=4," - plus a responsible AI review",""))</f>
      </c>
      <c r="M33" s="20">
        <f>IF(B33="","",IF('Outcome contract'!C33="","The result, stated as an outcome with a number. ","")&amp;IF('Outcome contract'!E33="","Baseline today. ","")&amp;IF('Outcome contract'!F33="","Target. ","")&amp;IF('Outcome contract'!G33="","Owner for the build. ","")&amp;IF('Outcome contract'!H33="","Owner after go-live. ","")&amp;IF('Outcome contract'!I33="","The boundary: what it will refuse to do. ","")&amp;IF(COUNTBLANK('Outcome contract'!M33)&gt;0,"V1 how many people do this work today. ","")&amp;IF(COUNTBLANK('Outcome contract'!N33)&gt;0,"V2 how often it happens. ","")&amp;IF(COUNTBLANK('Outcome contract'!O33)&gt;0,"V3 how long it takes each time. ","")&amp;IF(COUNTBLANK('Outcome contract'!P33)&gt;0,"V4 how often it goes wrong and what that costs. ","")&amp;IF('Outcome contract'!S33="","V6 what happens to the time saved. ","")&amp;IF('Eight questions'!J33="","Data classification. ","")&amp;IF('Eight questions'!M33="","Whether the connection already exists. ","")&amp;IF('Eight questions'!O33="","What a wrong answer costs. ","")&amp;IF(AND('Eight questions'!J33="Regulated",'Eight questions'!I33=""),"Consent and residency position. ",""))</f>
      </c>
      <c r="N33" s="21">
        <f>IF(B33="","",(15-(IF('Outcome contract'!C33="",1,0)+IF('Outcome contract'!E33="",1,0)+IF('Outcome contract'!F33="",1,0)+IF('Outcome contract'!G33="",1,0)+IF('Outcome contract'!H33="",1,0)+IF('Outcome contract'!I33="",1,0)+COUNTBLANK('Outcome contract'!M33)+COUNTBLANK('Outcome contract'!N33)+COUNTBLANK('Outcome contract'!O33)+COUNTBLANK('Outcome contract'!P33)+IF('Outcome contract'!S33="",1,0)+IF('Eight questions'!J33="",1,0)+IF('Eight questions'!M33="",1,0)+IF('Eight questions'!O33="",1,0)+IF('Eight questions'!C33="",1,0)))/15)</f>
      </c>
    </row>
    <row r="34" ht="30" customHeight="1" spans="1:14" x14ac:dyDescent="0.25">
      <c r="A34" s="20">
        <f>IF(Register!A34="","",Register!A34)</f>
      </c>
      <c r="B34" s="20">
        <f>IF(Register!C34="","",Register!C34)</f>
      </c>
      <c r="C34" s="20">
        <f>IF(OR(IF(Register!U34="",Register!T34,Register!U34)="",'Eight questions'!F34="",'Eight questions'!J34="",'Eight questions'!L34="",'Eight questions'!M34="",'Eight questions'!O34=""),"",IF(AND(IF(Register!U34="",Register!T34,Register!U34)&lt;&gt;"Agent",VALUE(LEFT('Eight questions'!F34,1))&lt;=2,'Eight questions'!O34="Read only",OR('Eight questions'!J34="Public",'Eight questions'!J34="Internal"),OR('Eight questions'!L34="Nothing",'Eight questions'!L34="Static documents"),'Eight questions'!M34="Yes, in production"),"Quick win","No"))</f>
      </c>
      <c r="D34" s="20">
        <f>IF(C34&lt;&gt;"No","",IF(IF(Register!U34="",Register!T34,Register!U34)="Agent","It is an agent",IF(VALUE(LEFT('Eight questions'!F34,1))&gt;2,"Reach is tier 3 or above",IF('Eight questions'!O34&lt;&gt;"Read only","It is not read only - "&amp;'Eight questions'!O34,IF(OR('Eight questions'!J34="Confidential",'Eight questions'!J34="Regulated"),"Data class is "&amp;'Eight questions'!J34,IF(OR('Eight questions'!L34="Live system state",'Eight questions'!L34="Take an action",'Eight questions'!L34="Analytical data"),"The source is not static - "&amp;'Eight questions'!L34,IF('Eight questions'!M34&lt;&gt;"Yes, in production","The connection does not exist in production","")))))))</f>
      </c>
      <c r="E34" s="20">
        <f>IF('Assurance and gate'!K34="","",'Assurance and gate'!K34)</f>
      </c>
      <c r="F34" s="20">
        <f>IF('Eight questions'!M34="","",IF('Eight questions'!M34="No","Yes - programme work, not a quick win","No"))</f>
      </c>
      <c r="G34" s="20">
        <f>IF(IF('Technology direction'!D34="",'Technology direction'!C34,'Technology direction'!D34)="","",IF('Technology direction'!D34="",'Technology direction'!C34,'Technology direction'!D34)&amp;IF('Technology direction'!H34=""," "," - "&amp;'Technology direction'!H34)&amp;IF('Eight questions'!J34="Regulated"," - constrained by regulated data: a stated data location and private networking",IF('Eight questions'!J34="Confidential"," - constrained by confidential data: an explicit DLP policy and a named retention period","")))</f>
      </c>
      <c r="H34" s="20">
        <f>IF(IF('Technology direction'!D34="",'Technology direction'!C34,'Technology direction'!D34)="","",IF(IF('Technology direction'!D34="",'Technology direction'!C34,'Technology direction'!D34)="1 Not AI","Automation or data platform team",IF(IF('Technology direction'!D34="",'Technology direction'!C34,'Technology direction'!D34)="2 Ready-made","Workload team plus a Microsoft 365 administrator",IF(IF('Technology direction'!D34="",'Technology direction'!C34,'Technology direction'!D34)="3 Low-code","Workload team, a Copilot Studio maker, and the Platform team for connectors and DLP","Platform team, pro-code engineers, AI security and evaluation")))&amp;IF('Assurance and gate'!J34&gt;=3," - plus AI Centre of Excellence review",""))</f>
      </c>
      <c r="I34" s="20">
        <f>IF(IF('Technology direction'!D34="",'Technology direction'!C34,'Technology direction'!D34)="","",IF(IF('Technology direction'!D34="",'Technology direction'!C34,'Technology direction'!D34)="1 Not AI","Configuration: days to weeks",IF(IF('Technology direction'!D34="",'Technology direction'!C34,'Technology direction'!D34)="2 Ready-made","Configure and adopt: one to three weeks",IF(IF('Technology direction'!D34="",'Technology direction'!C34,'Technology direction'!D34)="3 Low-code","Low-code build: three to eight weeks",IF(IF('Technology direction'!D34="",'Technology direction'!C34,'Technology direction'!D34)="4 Pro-code","Pro-code build: two to six months","Platform build: six months or more"))))&amp;IF('Eight questions'!M34="No"," - integration-led, and the integration conversation comes first",""))</f>
      </c>
      <c r="J34" s="20">
        <f>IF('Assurance and gate'!J34="","",IF('Assurance and gate'!J34=1,"Standard guardrails only",IF('Assurance and gate'!J34=2,"Named owner spot-checks, plus platform monitoring",IF('Assurance and gate'!J34=3,"Measured pilot, scheduled re-evaluation and a decision gate","A staffed human control that recurs every time the process runs, monitoring, scheduled evaluation and a route to a person")))&amp;" - plus licences, credits and the monthly consumption review")</f>
      </c>
      <c r="K34" s="20">
        <f>IF(OR('Eight questions'!L34="",'Eight questions'!M34=""),"",IF('Eight questions'!M34="No","Months - integration-led",IF(OR('Eight questions'!L34="Live system state",'Eight questions'!L34="Take an action"),"Months",IF('Eight questions'!L34="Analytical data","Weeks to months",IF('Assurance and gate'!J34=4,"Weeks, plus a full assurance cycle","Weeks")))))</f>
      </c>
      <c r="L34" s="20">
        <f>IF(IF('Technology direction'!D34="",'Technology direction'!C34,'Technology direction'!D34)="","",IF(IF('Technology direction'!D34="",'Technology direction'!C34,'Technology direction'!D34)="1 Not AI","Automation or Fabric guidance",IF(IF('Technology direction'!D34="",'Technology direction'!C34,'Technology direction'!D34)="2 Ready-made","Ready-made agent enablement and an adoption workshop",IF(IF('Technology direction'!D34="",'Technology direction'!C34,'Technology direction'!D34)="3 Low-code","Copilot Studio enablement, plus a partner for connectors","An architecture design session, plus a partner for the build")))&amp;IF('Assurance and gate'!J34=4," - plus a responsible AI review",""))</f>
      </c>
      <c r="M34" s="20">
        <f>IF(B34="","",IF('Outcome contract'!C34="","The result, stated as an outcome with a number. ","")&amp;IF('Outcome contract'!E34="","Baseline today. ","")&amp;IF('Outcome contract'!F34="","Target. ","")&amp;IF('Outcome contract'!G34="","Owner for the build. ","")&amp;IF('Outcome contract'!H34="","Owner after go-live. ","")&amp;IF('Outcome contract'!I34="","The boundary: what it will refuse to do. ","")&amp;IF(COUNTBLANK('Outcome contract'!M34)&gt;0,"V1 how many people do this work today. ","")&amp;IF(COUNTBLANK('Outcome contract'!N34)&gt;0,"V2 how often it happens. ","")&amp;IF(COUNTBLANK('Outcome contract'!O34)&gt;0,"V3 how long it takes each time. ","")&amp;IF(COUNTBLANK('Outcome contract'!P34)&gt;0,"V4 how often it goes wrong and what that costs. ","")&amp;IF('Outcome contract'!S34="","V6 what happens to the time saved. ","")&amp;IF('Eight questions'!J34="","Data classification. ","")&amp;IF('Eight questions'!M34="","Whether the connection already exists. ","")&amp;IF('Eight questions'!O34="","What a wrong answer costs. ","")&amp;IF(AND('Eight questions'!J34="Regulated",'Eight questions'!I34=""),"Consent and residency position. ",""))</f>
      </c>
      <c r="N34" s="21">
        <f>IF(B34="","",(15-(IF('Outcome contract'!C34="",1,0)+IF('Outcome contract'!E34="",1,0)+IF('Outcome contract'!F34="",1,0)+IF('Outcome contract'!G34="",1,0)+IF('Outcome contract'!H34="",1,0)+IF('Outcome contract'!I34="",1,0)+COUNTBLANK('Outcome contract'!M34)+COUNTBLANK('Outcome contract'!N34)+COUNTBLANK('Outcome contract'!O34)+COUNTBLANK('Outcome contract'!P34)+IF('Outcome contract'!S34="",1,0)+IF('Eight questions'!J34="",1,0)+IF('Eight questions'!M34="",1,0)+IF('Eight questions'!O34="",1,0)+IF('Eight questions'!C34="",1,0)))/15)</f>
      </c>
    </row>
    <row r="35" ht="30" customHeight="1" spans="1:14" x14ac:dyDescent="0.25">
      <c r="A35" s="20">
        <f>IF(Register!A35="","",Register!A35)</f>
      </c>
      <c r="B35" s="20">
        <f>IF(Register!C35="","",Register!C35)</f>
      </c>
      <c r="C35" s="20">
        <f>IF(OR(IF(Register!U35="",Register!T35,Register!U35)="",'Eight questions'!F35="",'Eight questions'!J35="",'Eight questions'!L35="",'Eight questions'!M35="",'Eight questions'!O35=""),"",IF(AND(IF(Register!U35="",Register!T35,Register!U35)&lt;&gt;"Agent",VALUE(LEFT('Eight questions'!F35,1))&lt;=2,'Eight questions'!O35="Read only",OR('Eight questions'!J35="Public",'Eight questions'!J35="Internal"),OR('Eight questions'!L35="Nothing",'Eight questions'!L35="Static documents"),'Eight questions'!M35="Yes, in production"),"Quick win","No"))</f>
      </c>
      <c r="D35" s="20">
        <f>IF(C35&lt;&gt;"No","",IF(IF(Register!U35="",Register!T35,Register!U35)="Agent","It is an agent",IF(VALUE(LEFT('Eight questions'!F35,1))&gt;2,"Reach is tier 3 or above",IF('Eight questions'!O35&lt;&gt;"Read only","It is not read only - "&amp;'Eight questions'!O35,IF(OR('Eight questions'!J35="Confidential",'Eight questions'!J35="Regulated"),"Data class is "&amp;'Eight questions'!J35,IF(OR('Eight questions'!L35="Live system state",'Eight questions'!L35="Take an action",'Eight questions'!L35="Analytical data"),"The source is not static - "&amp;'Eight questions'!L35,IF('Eight questions'!M35&lt;&gt;"Yes, in production","The connection does not exist in production","")))))))</f>
      </c>
      <c r="E35" s="20">
        <f>IF('Assurance and gate'!K35="","",'Assurance and gate'!K35)</f>
      </c>
      <c r="F35" s="20">
        <f>IF('Eight questions'!M35="","",IF('Eight questions'!M35="No","Yes - programme work, not a quick win","No"))</f>
      </c>
      <c r="G35" s="20">
        <f>IF(IF('Technology direction'!D35="",'Technology direction'!C35,'Technology direction'!D35)="","",IF('Technology direction'!D35="",'Technology direction'!C35,'Technology direction'!D35)&amp;IF('Technology direction'!H35=""," "," - "&amp;'Technology direction'!H35)&amp;IF('Eight questions'!J35="Regulated"," - constrained by regulated data: a stated data location and private networking",IF('Eight questions'!J35="Confidential"," - constrained by confidential data: an explicit DLP policy and a named retention period","")))</f>
      </c>
      <c r="H35" s="20">
        <f>IF(IF('Technology direction'!D35="",'Technology direction'!C35,'Technology direction'!D35)="","",IF(IF('Technology direction'!D35="",'Technology direction'!C35,'Technology direction'!D35)="1 Not AI","Automation or data platform team",IF(IF('Technology direction'!D35="",'Technology direction'!C35,'Technology direction'!D35)="2 Ready-made","Workload team plus a Microsoft 365 administrator",IF(IF('Technology direction'!D35="",'Technology direction'!C35,'Technology direction'!D35)="3 Low-code","Workload team, a Copilot Studio maker, and the Platform team for connectors and DLP","Platform team, pro-code engineers, AI security and evaluation")))&amp;IF('Assurance and gate'!J35&gt;=3," - plus AI Centre of Excellence review",""))</f>
      </c>
      <c r="I35" s="20">
        <f>IF(IF('Technology direction'!D35="",'Technology direction'!C35,'Technology direction'!D35)="","",IF(IF('Technology direction'!D35="",'Technology direction'!C35,'Technology direction'!D35)="1 Not AI","Configuration: days to weeks",IF(IF('Technology direction'!D35="",'Technology direction'!C35,'Technology direction'!D35)="2 Ready-made","Configure and adopt: one to three weeks",IF(IF('Technology direction'!D35="",'Technology direction'!C35,'Technology direction'!D35)="3 Low-code","Low-code build: three to eight weeks",IF(IF('Technology direction'!D35="",'Technology direction'!C35,'Technology direction'!D35)="4 Pro-code","Pro-code build: two to six months","Platform build: six months or more"))))&amp;IF('Eight questions'!M35="No"," - integration-led, and the integration conversation comes first",""))</f>
      </c>
      <c r="J35" s="20">
        <f>IF('Assurance and gate'!J35="","",IF('Assurance and gate'!J35=1,"Standard guardrails only",IF('Assurance and gate'!J35=2,"Named owner spot-checks, plus platform monitoring",IF('Assurance and gate'!J35=3,"Measured pilot, scheduled re-evaluation and a decision gate","A staffed human control that recurs every time the process runs, monitoring, scheduled evaluation and a route to a person")))&amp;" - plus licences, credits and the monthly consumption review")</f>
      </c>
      <c r="K35" s="20">
        <f>IF(OR('Eight questions'!L35="",'Eight questions'!M35=""),"",IF('Eight questions'!M35="No","Months - integration-led",IF(OR('Eight questions'!L35="Live system state",'Eight questions'!L35="Take an action"),"Months",IF('Eight questions'!L35="Analytical data","Weeks to months",IF('Assurance and gate'!J35=4,"Weeks, plus a full assurance cycle","Weeks")))))</f>
      </c>
      <c r="L35" s="20">
        <f>IF(IF('Technology direction'!D35="",'Technology direction'!C35,'Technology direction'!D35)="","",IF(IF('Technology direction'!D35="",'Technology direction'!C35,'Technology direction'!D35)="1 Not AI","Automation or Fabric guidance",IF(IF('Technology direction'!D35="",'Technology direction'!C35,'Technology direction'!D35)="2 Ready-made","Ready-made agent enablement and an adoption workshop",IF(IF('Technology direction'!D35="",'Technology direction'!C35,'Technology direction'!D35)="3 Low-code","Copilot Studio enablement, plus a partner for connectors","An architecture design session, plus a partner for the build")))&amp;IF('Assurance and gate'!J35=4," - plus a responsible AI review",""))</f>
      </c>
      <c r="M35" s="20">
        <f>IF(B35="","",IF('Outcome contract'!C35="","The result, stated as an outcome with a number. ","")&amp;IF('Outcome contract'!E35="","Baseline today. ","")&amp;IF('Outcome contract'!F35="","Target. ","")&amp;IF('Outcome contract'!G35="","Owner for the build. ","")&amp;IF('Outcome contract'!H35="","Owner after go-live. ","")&amp;IF('Outcome contract'!I35="","The boundary: what it will refuse to do. ","")&amp;IF(COUNTBLANK('Outcome contract'!M35)&gt;0,"V1 how many people do this work today. ","")&amp;IF(COUNTBLANK('Outcome contract'!N35)&gt;0,"V2 how often it happens. ","")&amp;IF(COUNTBLANK('Outcome contract'!O35)&gt;0,"V3 how long it takes each time. ","")&amp;IF(COUNTBLANK('Outcome contract'!P35)&gt;0,"V4 how often it goes wrong and what that costs. ","")&amp;IF('Outcome contract'!S35="","V6 what happens to the time saved. ","")&amp;IF('Eight questions'!J35="","Data classification. ","")&amp;IF('Eight questions'!M35="","Whether the connection already exists. ","")&amp;IF('Eight questions'!O35="","What a wrong answer costs. ","")&amp;IF(AND('Eight questions'!J35="Regulated",'Eight questions'!I35=""),"Consent and residency position. ",""))</f>
      </c>
      <c r="N35" s="21">
        <f>IF(B35="","",(15-(IF('Outcome contract'!C35="",1,0)+IF('Outcome contract'!E35="",1,0)+IF('Outcome contract'!F35="",1,0)+IF('Outcome contract'!G35="",1,0)+IF('Outcome contract'!H35="",1,0)+IF('Outcome contract'!I35="",1,0)+COUNTBLANK('Outcome contract'!M35)+COUNTBLANK('Outcome contract'!N35)+COUNTBLANK('Outcome contract'!O35)+COUNTBLANK('Outcome contract'!P35)+IF('Outcome contract'!S35="",1,0)+IF('Eight questions'!J35="",1,0)+IF('Eight questions'!M35="",1,0)+IF('Eight questions'!O35="",1,0)+IF('Eight questions'!C35="",1,0)))/15)</f>
      </c>
    </row>
    <row r="36" ht="30" customHeight="1" spans="1:14" x14ac:dyDescent="0.25">
      <c r="A36" s="20">
        <f>IF(Register!A36="","",Register!A36)</f>
      </c>
      <c r="B36" s="20">
        <f>IF(Register!C36="","",Register!C36)</f>
      </c>
      <c r="C36" s="20">
        <f>IF(OR(IF(Register!U36="",Register!T36,Register!U36)="",'Eight questions'!F36="",'Eight questions'!J36="",'Eight questions'!L36="",'Eight questions'!M36="",'Eight questions'!O36=""),"",IF(AND(IF(Register!U36="",Register!T36,Register!U36)&lt;&gt;"Agent",VALUE(LEFT('Eight questions'!F36,1))&lt;=2,'Eight questions'!O36="Read only",OR('Eight questions'!J36="Public",'Eight questions'!J36="Internal"),OR('Eight questions'!L36="Nothing",'Eight questions'!L36="Static documents"),'Eight questions'!M36="Yes, in production"),"Quick win","No"))</f>
      </c>
      <c r="D36" s="20">
        <f>IF(C36&lt;&gt;"No","",IF(IF(Register!U36="",Register!T36,Register!U36)="Agent","It is an agent",IF(VALUE(LEFT('Eight questions'!F36,1))&gt;2,"Reach is tier 3 or above",IF('Eight questions'!O36&lt;&gt;"Read only","It is not read only - "&amp;'Eight questions'!O36,IF(OR('Eight questions'!J36="Confidential",'Eight questions'!J36="Regulated"),"Data class is "&amp;'Eight questions'!J36,IF(OR('Eight questions'!L36="Live system state",'Eight questions'!L36="Take an action",'Eight questions'!L36="Analytical data"),"The source is not static - "&amp;'Eight questions'!L36,IF('Eight questions'!M36&lt;&gt;"Yes, in production","The connection does not exist in production","")))))))</f>
      </c>
      <c r="E36" s="20">
        <f>IF('Assurance and gate'!K36="","",'Assurance and gate'!K36)</f>
      </c>
      <c r="F36" s="20">
        <f>IF('Eight questions'!M36="","",IF('Eight questions'!M36="No","Yes - programme work, not a quick win","No"))</f>
      </c>
      <c r="G36" s="20">
        <f>IF(IF('Technology direction'!D36="",'Technology direction'!C36,'Technology direction'!D36)="","",IF('Technology direction'!D36="",'Technology direction'!C36,'Technology direction'!D36)&amp;IF('Technology direction'!H36=""," "," - "&amp;'Technology direction'!H36)&amp;IF('Eight questions'!J36="Regulated"," - constrained by regulated data: a stated data location and private networking",IF('Eight questions'!J36="Confidential"," - constrained by confidential data: an explicit DLP policy and a named retention period","")))</f>
      </c>
      <c r="H36" s="20">
        <f>IF(IF('Technology direction'!D36="",'Technology direction'!C36,'Technology direction'!D36)="","",IF(IF('Technology direction'!D36="",'Technology direction'!C36,'Technology direction'!D36)="1 Not AI","Automation or data platform team",IF(IF('Technology direction'!D36="",'Technology direction'!C36,'Technology direction'!D36)="2 Ready-made","Workload team plus a Microsoft 365 administrator",IF(IF('Technology direction'!D36="",'Technology direction'!C36,'Technology direction'!D36)="3 Low-code","Workload team, a Copilot Studio maker, and the Platform team for connectors and DLP","Platform team, pro-code engineers, AI security and evaluation")))&amp;IF('Assurance and gate'!J36&gt;=3," - plus AI Centre of Excellence review",""))</f>
      </c>
      <c r="I36" s="20">
        <f>IF(IF('Technology direction'!D36="",'Technology direction'!C36,'Technology direction'!D36)="","",IF(IF('Technology direction'!D36="",'Technology direction'!C36,'Technology direction'!D36)="1 Not AI","Configuration: days to weeks",IF(IF('Technology direction'!D36="",'Technology direction'!C36,'Technology direction'!D36)="2 Ready-made","Configure and adopt: one to three weeks",IF(IF('Technology direction'!D36="",'Technology direction'!C36,'Technology direction'!D36)="3 Low-code","Low-code build: three to eight weeks",IF(IF('Technology direction'!D36="",'Technology direction'!C36,'Technology direction'!D36)="4 Pro-code","Pro-code build: two to six months","Platform build: six months or more"))))&amp;IF('Eight questions'!M36="No"," - integration-led, and the integration conversation comes first",""))</f>
      </c>
      <c r="J36" s="20">
        <f>IF('Assurance and gate'!J36="","",IF('Assurance and gate'!J36=1,"Standard guardrails only",IF('Assurance and gate'!J36=2,"Named owner spot-checks, plus platform monitoring",IF('Assurance and gate'!J36=3,"Measured pilot, scheduled re-evaluation and a decision gate","A staffed human control that recurs every time the process runs, monitoring, scheduled evaluation and a route to a person")))&amp;" - plus licences, credits and the monthly consumption review")</f>
      </c>
      <c r="K36" s="20">
        <f>IF(OR('Eight questions'!L36="",'Eight questions'!M36=""),"",IF('Eight questions'!M36="No","Months - integration-led",IF(OR('Eight questions'!L36="Live system state",'Eight questions'!L36="Take an action"),"Months",IF('Eight questions'!L36="Analytical data","Weeks to months",IF('Assurance and gate'!J36=4,"Weeks, plus a full assurance cycle","Weeks")))))</f>
      </c>
      <c r="L36" s="20">
        <f>IF(IF('Technology direction'!D36="",'Technology direction'!C36,'Technology direction'!D36)="","",IF(IF('Technology direction'!D36="",'Technology direction'!C36,'Technology direction'!D36)="1 Not AI","Automation or Fabric guidance",IF(IF('Technology direction'!D36="",'Technology direction'!C36,'Technology direction'!D36)="2 Ready-made","Ready-made agent enablement and an adoption workshop",IF(IF('Technology direction'!D36="",'Technology direction'!C36,'Technology direction'!D36)="3 Low-code","Copilot Studio enablement, plus a partner for connectors","An architecture design session, plus a partner for the build")))&amp;IF('Assurance and gate'!J36=4," - plus a responsible AI review",""))</f>
      </c>
      <c r="M36" s="20">
        <f>IF(B36="","",IF('Outcome contract'!C36="","The result, stated as an outcome with a number. ","")&amp;IF('Outcome contract'!E36="","Baseline today. ","")&amp;IF('Outcome contract'!F36="","Target. ","")&amp;IF('Outcome contract'!G36="","Owner for the build. ","")&amp;IF('Outcome contract'!H36="","Owner after go-live. ","")&amp;IF('Outcome contract'!I36="","The boundary: what it will refuse to do. ","")&amp;IF(COUNTBLANK('Outcome contract'!M36)&gt;0,"V1 how many people do this work today. ","")&amp;IF(COUNTBLANK('Outcome contract'!N36)&gt;0,"V2 how often it happens. ","")&amp;IF(COUNTBLANK('Outcome contract'!O36)&gt;0,"V3 how long it takes each time. ","")&amp;IF(COUNTBLANK('Outcome contract'!P36)&gt;0,"V4 how often it goes wrong and what that costs. ","")&amp;IF('Outcome contract'!S36="","V6 what happens to the time saved. ","")&amp;IF('Eight questions'!J36="","Data classification. ","")&amp;IF('Eight questions'!M36="","Whether the connection already exists. ","")&amp;IF('Eight questions'!O36="","What a wrong answer costs. ","")&amp;IF(AND('Eight questions'!J36="Regulated",'Eight questions'!I36=""),"Consent and residency position. ",""))</f>
      </c>
      <c r="N36" s="21">
        <f>IF(B36="","",(15-(IF('Outcome contract'!C36="",1,0)+IF('Outcome contract'!E36="",1,0)+IF('Outcome contract'!F36="",1,0)+IF('Outcome contract'!G36="",1,0)+IF('Outcome contract'!H36="",1,0)+IF('Outcome contract'!I36="",1,0)+COUNTBLANK('Outcome contract'!M36)+COUNTBLANK('Outcome contract'!N36)+COUNTBLANK('Outcome contract'!O36)+COUNTBLANK('Outcome contract'!P36)+IF('Outcome contract'!S36="",1,0)+IF('Eight questions'!J36="",1,0)+IF('Eight questions'!M36="",1,0)+IF('Eight questions'!O36="",1,0)+IF('Eight questions'!C36="",1,0)))/15)</f>
      </c>
    </row>
    <row r="37" ht="30" customHeight="1" spans="1:14" x14ac:dyDescent="0.25">
      <c r="A37" s="20">
        <f>IF(Register!A37="","",Register!A37)</f>
      </c>
      <c r="B37" s="20">
        <f>IF(Register!C37="","",Register!C37)</f>
      </c>
      <c r="C37" s="20">
        <f>IF(OR(IF(Register!U37="",Register!T37,Register!U37)="",'Eight questions'!F37="",'Eight questions'!J37="",'Eight questions'!L37="",'Eight questions'!M37="",'Eight questions'!O37=""),"",IF(AND(IF(Register!U37="",Register!T37,Register!U37)&lt;&gt;"Agent",VALUE(LEFT('Eight questions'!F37,1))&lt;=2,'Eight questions'!O37="Read only",OR('Eight questions'!J37="Public",'Eight questions'!J37="Internal"),OR('Eight questions'!L37="Nothing",'Eight questions'!L37="Static documents"),'Eight questions'!M37="Yes, in production"),"Quick win","No"))</f>
      </c>
      <c r="D37" s="20">
        <f>IF(C37&lt;&gt;"No","",IF(IF(Register!U37="",Register!T37,Register!U37)="Agent","It is an agent",IF(VALUE(LEFT('Eight questions'!F37,1))&gt;2,"Reach is tier 3 or above",IF('Eight questions'!O37&lt;&gt;"Read only","It is not read only - "&amp;'Eight questions'!O37,IF(OR('Eight questions'!J37="Confidential",'Eight questions'!J37="Regulated"),"Data class is "&amp;'Eight questions'!J37,IF(OR('Eight questions'!L37="Live system state",'Eight questions'!L37="Take an action",'Eight questions'!L37="Analytical data"),"The source is not static - "&amp;'Eight questions'!L37,IF('Eight questions'!M37&lt;&gt;"Yes, in production","The connection does not exist in production","")))))))</f>
      </c>
      <c r="E37" s="20">
        <f>IF('Assurance and gate'!K37="","",'Assurance and gate'!K37)</f>
      </c>
      <c r="F37" s="20">
        <f>IF('Eight questions'!M37="","",IF('Eight questions'!M37="No","Yes - programme work, not a quick win","No"))</f>
      </c>
      <c r="G37" s="20">
        <f>IF(IF('Technology direction'!D37="",'Technology direction'!C37,'Technology direction'!D37)="","",IF('Technology direction'!D37="",'Technology direction'!C37,'Technology direction'!D37)&amp;IF('Technology direction'!H37=""," "," - "&amp;'Technology direction'!H37)&amp;IF('Eight questions'!J37="Regulated"," - constrained by regulated data: a stated data location and private networking",IF('Eight questions'!J37="Confidential"," - constrained by confidential data: an explicit DLP policy and a named retention period","")))</f>
      </c>
      <c r="H37" s="20">
        <f>IF(IF('Technology direction'!D37="",'Technology direction'!C37,'Technology direction'!D37)="","",IF(IF('Technology direction'!D37="",'Technology direction'!C37,'Technology direction'!D37)="1 Not AI","Automation or data platform team",IF(IF('Technology direction'!D37="",'Technology direction'!C37,'Technology direction'!D37)="2 Ready-made","Workload team plus a Microsoft 365 administrator",IF(IF('Technology direction'!D37="",'Technology direction'!C37,'Technology direction'!D37)="3 Low-code","Workload team, a Copilot Studio maker, and the Platform team for connectors and DLP","Platform team, pro-code engineers, AI security and evaluation")))&amp;IF('Assurance and gate'!J37&gt;=3," - plus AI Centre of Excellence review",""))</f>
      </c>
      <c r="I37" s="20">
        <f>IF(IF('Technology direction'!D37="",'Technology direction'!C37,'Technology direction'!D37)="","",IF(IF('Technology direction'!D37="",'Technology direction'!C37,'Technology direction'!D37)="1 Not AI","Configuration: days to weeks",IF(IF('Technology direction'!D37="",'Technology direction'!C37,'Technology direction'!D37)="2 Ready-made","Configure and adopt: one to three weeks",IF(IF('Technology direction'!D37="",'Technology direction'!C37,'Technology direction'!D37)="3 Low-code","Low-code build: three to eight weeks",IF(IF('Technology direction'!D37="",'Technology direction'!C37,'Technology direction'!D37)="4 Pro-code","Pro-code build: two to six months","Platform build: six months or more"))))&amp;IF('Eight questions'!M37="No"," - integration-led, and the integration conversation comes first",""))</f>
      </c>
      <c r="J37" s="20">
        <f>IF('Assurance and gate'!J37="","",IF('Assurance and gate'!J37=1,"Standard guardrails only",IF('Assurance and gate'!J37=2,"Named owner spot-checks, plus platform monitoring",IF('Assurance and gate'!J37=3,"Measured pilot, scheduled re-evaluation and a decision gate","A staffed human control that recurs every time the process runs, monitoring, scheduled evaluation and a route to a person")))&amp;" - plus licences, credits and the monthly consumption review")</f>
      </c>
      <c r="K37" s="20">
        <f>IF(OR('Eight questions'!L37="",'Eight questions'!M37=""),"",IF('Eight questions'!M37="No","Months - integration-led",IF(OR('Eight questions'!L37="Live system state",'Eight questions'!L37="Take an action"),"Months",IF('Eight questions'!L37="Analytical data","Weeks to months",IF('Assurance and gate'!J37=4,"Weeks, plus a full assurance cycle","Weeks")))))</f>
      </c>
      <c r="L37" s="20">
        <f>IF(IF('Technology direction'!D37="",'Technology direction'!C37,'Technology direction'!D37)="","",IF(IF('Technology direction'!D37="",'Technology direction'!C37,'Technology direction'!D37)="1 Not AI","Automation or Fabric guidance",IF(IF('Technology direction'!D37="",'Technology direction'!C37,'Technology direction'!D37)="2 Ready-made","Ready-made agent enablement and an adoption workshop",IF(IF('Technology direction'!D37="",'Technology direction'!C37,'Technology direction'!D37)="3 Low-code","Copilot Studio enablement, plus a partner for connectors","An architecture design session, plus a partner for the build")))&amp;IF('Assurance and gate'!J37=4," - plus a responsible AI review",""))</f>
      </c>
      <c r="M37" s="20">
        <f>IF(B37="","",IF('Outcome contract'!C37="","The result, stated as an outcome with a number. ","")&amp;IF('Outcome contract'!E37="","Baseline today. ","")&amp;IF('Outcome contract'!F37="","Target. ","")&amp;IF('Outcome contract'!G37="","Owner for the build. ","")&amp;IF('Outcome contract'!H37="","Owner after go-live. ","")&amp;IF('Outcome contract'!I37="","The boundary: what it will refuse to do. ","")&amp;IF(COUNTBLANK('Outcome contract'!M37)&gt;0,"V1 how many people do this work today. ","")&amp;IF(COUNTBLANK('Outcome contract'!N37)&gt;0,"V2 how often it happens. ","")&amp;IF(COUNTBLANK('Outcome contract'!O37)&gt;0,"V3 how long it takes each time. ","")&amp;IF(COUNTBLANK('Outcome contract'!P37)&gt;0,"V4 how often it goes wrong and what that costs. ","")&amp;IF('Outcome contract'!S37="","V6 what happens to the time saved. ","")&amp;IF('Eight questions'!J37="","Data classification. ","")&amp;IF('Eight questions'!M37="","Whether the connection already exists. ","")&amp;IF('Eight questions'!O37="","What a wrong answer costs. ","")&amp;IF(AND('Eight questions'!J37="Regulated",'Eight questions'!I37=""),"Consent and residency position. ",""))</f>
      </c>
      <c r="N37" s="21">
        <f>IF(B37="","",(15-(IF('Outcome contract'!C37="",1,0)+IF('Outcome contract'!E37="",1,0)+IF('Outcome contract'!F37="",1,0)+IF('Outcome contract'!G37="",1,0)+IF('Outcome contract'!H37="",1,0)+IF('Outcome contract'!I37="",1,0)+COUNTBLANK('Outcome contract'!M37)+COUNTBLANK('Outcome contract'!N37)+COUNTBLANK('Outcome contract'!O37)+COUNTBLANK('Outcome contract'!P37)+IF('Outcome contract'!S37="",1,0)+IF('Eight questions'!J37="",1,0)+IF('Eight questions'!M37="",1,0)+IF('Eight questions'!O37="",1,0)+IF('Eight questions'!C37="",1,0)))/15)</f>
      </c>
    </row>
    <row r="38" ht="30" customHeight="1" spans="1:14" x14ac:dyDescent="0.25">
      <c r="A38" s="20">
        <f>IF(Register!A38="","",Register!A38)</f>
      </c>
      <c r="B38" s="20">
        <f>IF(Register!C38="","",Register!C38)</f>
      </c>
      <c r="C38" s="20">
        <f>IF(OR(IF(Register!U38="",Register!T38,Register!U38)="",'Eight questions'!F38="",'Eight questions'!J38="",'Eight questions'!L38="",'Eight questions'!M38="",'Eight questions'!O38=""),"",IF(AND(IF(Register!U38="",Register!T38,Register!U38)&lt;&gt;"Agent",VALUE(LEFT('Eight questions'!F38,1))&lt;=2,'Eight questions'!O38="Read only",OR('Eight questions'!J38="Public",'Eight questions'!J38="Internal"),OR('Eight questions'!L38="Nothing",'Eight questions'!L38="Static documents"),'Eight questions'!M38="Yes, in production"),"Quick win","No"))</f>
      </c>
      <c r="D38" s="20">
        <f>IF(C38&lt;&gt;"No","",IF(IF(Register!U38="",Register!T38,Register!U38)="Agent","It is an agent",IF(VALUE(LEFT('Eight questions'!F38,1))&gt;2,"Reach is tier 3 or above",IF('Eight questions'!O38&lt;&gt;"Read only","It is not read only - "&amp;'Eight questions'!O38,IF(OR('Eight questions'!J38="Confidential",'Eight questions'!J38="Regulated"),"Data class is "&amp;'Eight questions'!J38,IF(OR('Eight questions'!L38="Live system state",'Eight questions'!L38="Take an action",'Eight questions'!L38="Analytical data"),"The source is not static - "&amp;'Eight questions'!L38,IF('Eight questions'!M38&lt;&gt;"Yes, in production","The connection does not exist in production","")))))))</f>
      </c>
      <c r="E38" s="20">
        <f>IF('Assurance and gate'!K38="","",'Assurance and gate'!K38)</f>
      </c>
      <c r="F38" s="20">
        <f>IF('Eight questions'!M38="","",IF('Eight questions'!M38="No","Yes - programme work, not a quick win","No"))</f>
      </c>
      <c r="G38" s="20">
        <f>IF(IF('Technology direction'!D38="",'Technology direction'!C38,'Technology direction'!D38)="","",IF('Technology direction'!D38="",'Technology direction'!C38,'Technology direction'!D38)&amp;IF('Technology direction'!H38=""," "," - "&amp;'Technology direction'!H38)&amp;IF('Eight questions'!J38="Regulated"," - constrained by regulated data: a stated data location and private networking",IF('Eight questions'!J38="Confidential"," - constrained by confidential data: an explicit DLP policy and a named retention period","")))</f>
      </c>
      <c r="H38" s="20">
        <f>IF(IF('Technology direction'!D38="",'Technology direction'!C38,'Technology direction'!D38)="","",IF(IF('Technology direction'!D38="",'Technology direction'!C38,'Technology direction'!D38)="1 Not AI","Automation or data platform team",IF(IF('Technology direction'!D38="",'Technology direction'!C38,'Technology direction'!D38)="2 Ready-made","Workload team plus a Microsoft 365 administrator",IF(IF('Technology direction'!D38="",'Technology direction'!C38,'Technology direction'!D38)="3 Low-code","Workload team, a Copilot Studio maker, and the Platform team for connectors and DLP","Platform team, pro-code engineers, AI security and evaluation")))&amp;IF('Assurance and gate'!J38&gt;=3," - plus AI Centre of Excellence review",""))</f>
      </c>
      <c r="I38" s="20">
        <f>IF(IF('Technology direction'!D38="",'Technology direction'!C38,'Technology direction'!D38)="","",IF(IF('Technology direction'!D38="",'Technology direction'!C38,'Technology direction'!D38)="1 Not AI","Configuration: days to weeks",IF(IF('Technology direction'!D38="",'Technology direction'!C38,'Technology direction'!D38)="2 Ready-made","Configure and adopt: one to three weeks",IF(IF('Technology direction'!D38="",'Technology direction'!C38,'Technology direction'!D38)="3 Low-code","Low-code build: three to eight weeks",IF(IF('Technology direction'!D38="",'Technology direction'!C38,'Technology direction'!D38)="4 Pro-code","Pro-code build: two to six months","Platform build: six months or more"))))&amp;IF('Eight questions'!M38="No"," - integration-led, and the integration conversation comes first",""))</f>
      </c>
      <c r="J38" s="20">
        <f>IF('Assurance and gate'!J38="","",IF('Assurance and gate'!J38=1,"Standard guardrails only",IF('Assurance and gate'!J38=2,"Named owner spot-checks, plus platform monitoring",IF('Assurance and gate'!J38=3,"Measured pilot, scheduled re-evaluation and a decision gate","A staffed human control that recurs every time the process runs, monitoring, scheduled evaluation and a route to a person")))&amp;" - plus licences, credits and the monthly consumption review")</f>
      </c>
      <c r="K38" s="20">
        <f>IF(OR('Eight questions'!L38="",'Eight questions'!M38=""),"",IF('Eight questions'!M38="No","Months - integration-led",IF(OR('Eight questions'!L38="Live system state",'Eight questions'!L38="Take an action"),"Months",IF('Eight questions'!L38="Analytical data","Weeks to months",IF('Assurance and gate'!J38=4,"Weeks, plus a full assurance cycle","Weeks")))))</f>
      </c>
      <c r="L38" s="20">
        <f>IF(IF('Technology direction'!D38="",'Technology direction'!C38,'Technology direction'!D38)="","",IF(IF('Technology direction'!D38="",'Technology direction'!C38,'Technology direction'!D38)="1 Not AI","Automation or Fabric guidance",IF(IF('Technology direction'!D38="",'Technology direction'!C38,'Technology direction'!D38)="2 Ready-made","Ready-made agent enablement and an adoption workshop",IF(IF('Technology direction'!D38="",'Technology direction'!C38,'Technology direction'!D38)="3 Low-code","Copilot Studio enablement, plus a partner for connectors","An architecture design session, plus a partner for the build")))&amp;IF('Assurance and gate'!J38=4," - plus a responsible AI review",""))</f>
      </c>
      <c r="M38" s="20">
        <f>IF(B38="","",IF('Outcome contract'!C38="","The result, stated as an outcome with a number. ","")&amp;IF('Outcome contract'!E38="","Baseline today. ","")&amp;IF('Outcome contract'!F38="","Target. ","")&amp;IF('Outcome contract'!G38="","Owner for the build. ","")&amp;IF('Outcome contract'!H38="","Owner after go-live. ","")&amp;IF('Outcome contract'!I38="","The boundary: what it will refuse to do. ","")&amp;IF(COUNTBLANK('Outcome contract'!M38)&gt;0,"V1 how many people do this work today. ","")&amp;IF(COUNTBLANK('Outcome contract'!N38)&gt;0,"V2 how often it happens. ","")&amp;IF(COUNTBLANK('Outcome contract'!O38)&gt;0,"V3 how long it takes each time. ","")&amp;IF(COUNTBLANK('Outcome contract'!P38)&gt;0,"V4 how often it goes wrong and what that costs. ","")&amp;IF('Outcome contract'!S38="","V6 what happens to the time saved. ","")&amp;IF('Eight questions'!J38="","Data classification. ","")&amp;IF('Eight questions'!M38="","Whether the connection already exists. ","")&amp;IF('Eight questions'!O38="","What a wrong answer costs. ","")&amp;IF(AND('Eight questions'!J38="Regulated",'Eight questions'!I38=""),"Consent and residency position. ",""))</f>
      </c>
      <c r="N38" s="21">
        <f>IF(B38="","",(15-(IF('Outcome contract'!C38="",1,0)+IF('Outcome contract'!E38="",1,0)+IF('Outcome contract'!F38="",1,0)+IF('Outcome contract'!G38="",1,0)+IF('Outcome contract'!H38="",1,0)+IF('Outcome contract'!I38="",1,0)+COUNTBLANK('Outcome contract'!M38)+COUNTBLANK('Outcome contract'!N38)+COUNTBLANK('Outcome contract'!O38)+COUNTBLANK('Outcome contract'!P38)+IF('Outcome contract'!S38="",1,0)+IF('Eight questions'!J38="",1,0)+IF('Eight questions'!M38="",1,0)+IF('Eight questions'!O38="",1,0)+IF('Eight questions'!C38="",1,0)))/15)</f>
      </c>
    </row>
    <row r="39" ht="30" customHeight="1" spans="1:14" x14ac:dyDescent="0.25">
      <c r="A39" s="20">
        <f>IF(Register!A39="","",Register!A39)</f>
      </c>
      <c r="B39" s="20">
        <f>IF(Register!C39="","",Register!C39)</f>
      </c>
      <c r="C39" s="20">
        <f>IF(OR(IF(Register!U39="",Register!T39,Register!U39)="",'Eight questions'!F39="",'Eight questions'!J39="",'Eight questions'!L39="",'Eight questions'!M39="",'Eight questions'!O39=""),"",IF(AND(IF(Register!U39="",Register!T39,Register!U39)&lt;&gt;"Agent",VALUE(LEFT('Eight questions'!F39,1))&lt;=2,'Eight questions'!O39="Read only",OR('Eight questions'!J39="Public",'Eight questions'!J39="Internal"),OR('Eight questions'!L39="Nothing",'Eight questions'!L39="Static documents"),'Eight questions'!M39="Yes, in production"),"Quick win","No"))</f>
      </c>
      <c r="D39" s="20">
        <f>IF(C39&lt;&gt;"No","",IF(IF(Register!U39="",Register!T39,Register!U39)="Agent","It is an agent",IF(VALUE(LEFT('Eight questions'!F39,1))&gt;2,"Reach is tier 3 or above",IF('Eight questions'!O39&lt;&gt;"Read only","It is not read only - "&amp;'Eight questions'!O39,IF(OR('Eight questions'!J39="Confidential",'Eight questions'!J39="Regulated"),"Data class is "&amp;'Eight questions'!J39,IF(OR('Eight questions'!L39="Live system state",'Eight questions'!L39="Take an action",'Eight questions'!L39="Analytical data"),"The source is not static - "&amp;'Eight questions'!L39,IF('Eight questions'!M39&lt;&gt;"Yes, in production","The connection does not exist in production","")))))))</f>
      </c>
      <c r="E39" s="20">
        <f>IF('Assurance and gate'!K39="","",'Assurance and gate'!K39)</f>
      </c>
      <c r="F39" s="20">
        <f>IF('Eight questions'!M39="","",IF('Eight questions'!M39="No","Yes - programme work, not a quick win","No"))</f>
      </c>
      <c r="G39" s="20">
        <f>IF(IF('Technology direction'!D39="",'Technology direction'!C39,'Technology direction'!D39)="","",IF('Technology direction'!D39="",'Technology direction'!C39,'Technology direction'!D39)&amp;IF('Technology direction'!H39=""," "," - "&amp;'Technology direction'!H39)&amp;IF('Eight questions'!J39="Regulated"," - constrained by regulated data: a stated data location and private networking",IF('Eight questions'!J39="Confidential"," - constrained by confidential data: an explicit DLP policy and a named retention period","")))</f>
      </c>
      <c r="H39" s="20">
        <f>IF(IF('Technology direction'!D39="",'Technology direction'!C39,'Technology direction'!D39)="","",IF(IF('Technology direction'!D39="",'Technology direction'!C39,'Technology direction'!D39)="1 Not AI","Automation or data platform team",IF(IF('Technology direction'!D39="",'Technology direction'!C39,'Technology direction'!D39)="2 Ready-made","Workload team plus a Microsoft 365 administrator",IF(IF('Technology direction'!D39="",'Technology direction'!C39,'Technology direction'!D39)="3 Low-code","Workload team, a Copilot Studio maker, and the Platform team for connectors and DLP","Platform team, pro-code engineers, AI security and evaluation")))&amp;IF('Assurance and gate'!J39&gt;=3," - plus AI Centre of Excellence review",""))</f>
      </c>
      <c r="I39" s="20">
        <f>IF(IF('Technology direction'!D39="",'Technology direction'!C39,'Technology direction'!D39)="","",IF(IF('Technology direction'!D39="",'Technology direction'!C39,'Technology direction'!D39)="1 Not AI","Configuration: days to weeks",IF(IF('Technology direction'!D39="",'Technology direction'!C39,'Technology direction'!D39)="2 Ready-made","Configure and adopt: one to three weeks",IF(IF('Technology direction'!D39="",'Technology direction'!C39,'Technology direction'!D39)="3 Low-code","Low-code build: three to eight weeks",IF(IF('Technology direction'!D39="",'Technology direction'!C39,'Technology direction'!D39)="4 Pro-code","Pro-code build: two to six months","Platform build: six months or more"))))&amp;IF('Eight questions'!M39="No"," - integration-led, and the integration conversation comes first",""))</f>
      </c>
      <c r="J39" s="20">
        <f>IF('Assurance and gate'!J39="","",IF('Assurance and gate'!J39=1,"Standard guardrails only",IF('Assurance and gate'!J39=2,"Named owner spot-checks, plus platform monitoring",IF('Assurance and gate'!J39=3,"Measured pilot, scheduled re-evaluation and a decision gate","A staffed human control that recurs every time the process runs, monitoring, scheduled evaluation and a route to a person")))&amp;" - plus licences, credits and the monthly consumption review")</f>
      </c>
      <c r="K39" s="20">
        <f>IF(OR('Eight questions'!L39="",'Eight questions'!M39=""),"",IF('Eight questions'!M39="No","Months - integration-led",IF(OR('Eight questions'!L39="Live system state",'Eight questions'!L39="Take an action"),"Months",IF('Eight questions'!L39="Analytical data","Weeks to months",IF('Assurance and gate'!J39=4,"Weeks, plus a full assurance cycle","Weeks")))))</f>
      </c>
      <c r="L39" s="20">
        <f>IF(IF('Technology direction'!D39="",'Technology direction'!C39,'Technology direction'!D39)="","",IF(IF('Technology direction'!D39="",'Technology direction'!C39,'Technology direction'!D39)="1 Not AI","Automation or Fabric guidance",IF(IF('Technology direction'!D39="",'Technology direction'!C39,'Technology direction'!D39)="2 Ready-made","Ready-made agent enablement and an adoption workshop",IF(IF('Technology direction'!D39="",'Technology direction'!C39,'Technology direction'!D39)="3 Low-code","Copilot Studio enablement, plus a partner for connectors","An architecture design session, plus a partner for the build")))&amp;IF('Assurance and gate'!J39=4," - plus a responsible AI review",""))</f>
      </c>
      <c r="M39" s="20">
        <f>IF(B39="","",IF('Outcome contract'!C39="","The result, stated as an outcome with a number. ","")&amp;IF('Outcome contract'!E39="","Baseline today. ","")&amp;IF('Outcome contract'!F39="","Target. ","")&amp;IF('Outcome contract'!G39="","Owner for the build. ","")&amp;IF('Outcome contract'!H39="","Owner after go-live. ","")&amp;IF('Outcome contract'!I39="","The boundary: what it will refuse to do. ","")&amp;IF(COUNTBLANK('Outcome contract'!M39)&gt;0,"V1 how many people do this work today. ","")&amp;IF(COUNTBLANK('Outcome contract'!N39)&gt;0,"V2 how often it happens. ","")&amp;IF(COUNTBLANK('Outcome contract'!O39)&gt;0,"V3 how long it takes each time. ","")&amp;IF(COUNTBLANK('Outcome contract'!P39)&gt;0,"V4 how often it goes wrong and what that costs. ","")&amp;IF('Outcome contract'!S39="","V6 what happens to the time saved. ","")&amp;IF('Eight questions'!J39="","Data classification. ","")&amp;IF('Eight questions'!M39="","Whether the connection already exists. ","")&amp;IF('Eight questions'!O39="","What a wrong answer costs. ","")&amp;IF(AND('Eight questions'!J39="Regulated",'Eight questions'!I39=""),"Consent and residency position. ",""))</f>
      </c>
      <c r="N39" s="21">
        <f>IF(B39="","",(15-(IF('Outcome contract'!C39="",1,0)+IF('Outcome contract'!E39="",1,0)+IF('Outcome contract'!F39="",1,0)+IF('Outcome contract'!G39="",1,0)+IF('Outcome contract'!H39="",1,0)+IF('Outcome contract'!I39="",1,0)+COUNTBLANK('Outcome contract'!M39)+COUNTBLANK('Outcome contract'!N39)+COUNTBLANK('Outcome contract'!O39)+COUNTBLANK('Outcome contract'!P39)+IF('Outcome contract'!S39="",1,0)+IF('Eight questions'!J39="",1,0)+IF('Eight questions'!M39="",1,0)+IF('Eight questions'!O39="",1,0)+IF('Eight questions'!C39="",1,0)))/15)</f>
      </c>
    </row>
    <row r="40" ht="30" customHeight="1" spans="1:14" x14ac:dyDescent="0.25">
      <c r="A40" s="20">
        <f>IF(Register!A40="","",Register!A40)</f>
      </c>
      <c r="B40" s="20">
        <f>IF(Register!C40="","",Register!C40)</f>
      </c>
      <c r="C40" s="20">
        <f>IF(OR(IF(Register!U40="",Register!T40,Register!U40)="",'Eight questions'!F40="",'Eight questions'!J40="",'Eight questions'!L40="",'Eight questions'!M40="",'Eight questions'!O40=""),"",IF(AND(IF(Register!U40="",Register!T40,Register!U40)&lt;&gt;"Agent",VALUE(LEFT('Eight questions'!F40,1))&lt;=2,'Eight questions'!O40="Read only",OR('Eight questions'!J40="Public",'Eight questions'!J40="Internal"),OR('Eight questions'!L40="Nothing",'Eight questions'!L40="Static documents"),'Eight questions'!M40="Yes, in production"),"Quick win","No"))</f>
      </c>
      <c r="D40" s="20">
        <f>IF(C40&lt;&gt;"No","",IF(IF(Register!U40="",Register!T40,Register!U40)="Agent","It is an agent",IF(VALUE(LEFT('Eight questions'!F40,1))&gt;2,"Reach is tier 3 or above",IF('Eight questions'!O40&lt;&gt;"Read only","It is not read only - "&amp;'Eight questions'!O40,IF(OR('Eight questions'!J40="Confidential",'Eight questions'!J40="Regulated"),"Data class is "&amp;'Eight questions'!J40,IF(OR('Eight questions'!L40="Live system state",'Eight questions'!L40="Take an action",'Eight questions'!L40="Analytical data"),"The source is not static - "&amp;'Eight questions'!L40,IF('Eight questions'!M40&lt;&gt;"Yes, in production","The connection does not exist in production","")))))))</f>
      </c>
      <c r="E40" s="20">
        <f>IF('Assurance and gate'!K40="","",'Assurance and gate'!K40)</f>
      </c>
      <c r="F40" s="20">
        <f>IF('Eight questions'!M40="","",IF('Eight questions'!M40="No","Yes - programme work, not a quick win","No"))</f>
      </c>
      <c r="G40" s="20">
        <f>IF(IF('Technology direction'!D40="",'Technology direction'!C40,'Technology direction'!D40)="","",IF('Technology direction'!D40="",'Technology direction'!C40,'Technology direction'!D40)&amp;IF('Technology direction'!H40=""," "," - "&amp;'Technology direction'!H40)&amp;IF('Eight questions'!J40="Regulated"," - constrained by regulated data: a stated data location and private networking",IF('Eight questions'!J40="Confidential"," - constrained by confidential data: an explicit DLP policy and a named retention period","")))</f>
      </c>
      <c r="H40" s="20">
        <f>IF(IF('Technology direction'!D40="",'Technology direction'!C40,'Technology direction'!D40)="","",IF(IF('Technology direction'!D40="",'Technology direction'!C40,'Technology direction'!D40)="1 Not AI","Automation or data platform team",IF(IF('Technology direction'!D40="",'Technology direction'!C40,'Technology direction'!D40)="2 Ready-made","Workload team plus a Microsoft 365 administrator",IF(IF('Technology direction'!D40="",'Technology direction'!C40,'Technology direction'!D40)="3 Low-code","Workload team, a Copilot Studio maker, and the Platform team for connectors and DLP","Platform team, pro-code engineers, AI security and evaluation")))&amp;IF('Assurance and gate'!J40&gt;=3," - plus AI Centre of Excellence review",""))</f>
      </c>
      <c r="I40" s="20">
        <f>IF(IF('Technology direction'!D40="",'Technology direction'!C40,'Technology direction'!D40)="","",IF(IF('Technology direction'!D40="",'Technology direction'!C40,'Technology direction'!D40)="1 Not AI","Configuration: days to weeks",IF(IF('Technology direction'!D40="",'Technology direction'!C40,'Technology direction'!D40)="2 Ready-made","Configure and adopt: one to three weeks",IF(IF('Technology direction'!D40="",'Technology direction'!C40,'Technology direction'!D40)="3 Low-code","Low-code build: three to eight weeks",IF(IF('Technology direction'!D40="",'Technology direction'!C40,'Technology direction'!D40)="4 Pro-code","Pro-code build: two to six months","Platform build: six months or more"))))&amp;IF('Eight questions'!M40="No"," - integration-led, and the integration conversation comes first",""))</f>
      </c>
      <c r="J40" s="20">
        <f>IF('Assurance and gate'!J40="","",IF('Assurance and gate'!J40=1,"Standard guardrails only",IF('Assurance and gate'!J40=2,"Named owner spot-checks, plus platform monitoring",IF('Assurance and gate'!J40=3,"Measured pilot, scheduled re-evaluation and a decision gate","A staffed human control that recurs every time the process runs, monitoring, scheduled evaluation and a route to a person")))&amp;" - plus licences, credits and the monthly consumption review")</f>
      </c>
      <c r="K40" s="20">
        <f>IF(OR('Eight questions'!L40="",'Eight questions'!M40=""),"",IF('Eight questions'!M40="No","Months - integration-led",IF(OR('Eight questions'!L40="Live system state",'Eight questions'!L40="Take an action"),"Months",IF('Eight questions'!L40="Analytical data","Weeks to months",IF('Assurance and gate'!J40=4,"Weeks, plus a full assurance cycle","Weeks")))))</f>
      </c>
      <c r="L40" s="20">
        <f>IF(IF('Technology direction'!D40="",'Technology direction'!C40,'Technology direction'!D40)="","",IF(IF('Technology direction'!D40="",'Technology direction'!C40,'Technology direction'!D40)="1 Not AI","Automation or Fabric guidance",IF(IF('Technology direction'!D40="",'Technology direction'!C40,'Technology direction'!D40)="2 Ready-made","Ready-made agent enablement and an adoption workshop",IF(IF('Technology direction'!D40="",'Technology direction'!C40,'Technology direction'!D40)="3 Low-code","Copilot Studio enablement, plus a partner for connectors","An architecture design session, plus a partner for the build")))&amp;IF('Assurance and gate'!J40=4," - plus a responsible AI review",""))</f>
      </c>
      <c r="M40" s="20">
        <f>IF(B40="","",IF('Outcome contract'!C40="","The result, stated as an outcome with a number. ","")&amp;IF('Outcome contract'!E40="","Baseline today. ","")&amp;IF('Outcome contract'!F40="","Target. ","")&amp;IF('Outcome contract'!G40="","Owner for the build. ","")&amp;IF('Outcome contract'!H40="","Owner after go-live. ","")&amp;IF('Outcome contract'!I40="","The boundary: what it will refuse to do. ","")&amp;IF(COUNTBLANK('Outcome contract'!M40)&gt;0,"V1 how many people do this work today. ","")&amp;IF(COUNTBLANK('Outcome contract'!N40)&gt;0,"V2 how often it happens. ","")&amp;IF(COUNTBLANK('Outcome contract'!O40)&gt;0,"V3 how long it takes each time. ","")&amp;IF(COUNTBLANK('Outcome contract'!P40)&gt;0,"V4 how often it goes wrong and what that costs. ","")&amp;IF('Outcome contract'!S40="","V6 what happens to the time saved. ","")&amp;IF('Eight questions'!J40="","Data classification. ","")&amp;IF('Eight questions'!M40="","Whether the connection already exists. ","")&amp;IF('Eight questions'!O40="","What a wrong answer costs. ","")&amp;IF(AND('Eight questions'!J40="Regulated",'Eight questions'!I40=""),"Consent and residency position. ",""))</f>
      </c>
      <c r="N40" s="21">
        <f>IF(B40="","",(15-(IF('Outcome contract'!C40="",1,0)+IF('Outcome contract'!E40="",1,0)+IF('Outcome contract'!F40="",1,0)+IF('Outcome contract'!G40="",1,0)+IF('Outcome contract'!H40="",1,0)+IF('Outcome contract'!I40="",1,0)+COUNTBLANK('Outcome contract'!M40)+COUNTBLANK('Outcome contract'!N40)+COUNTBLANK('Outcome contract'!O40)+COUNTBLANK('Outcome contract'!P40)+IF('Outcome contract'!S40="",1,0)+IF('Eight questions'!J40="",1,0)+IF('Eight questions'!M40="",1,0)+IF('Eight questions'!O40="",1,0)+IF('Eight questions'!C40="",1,0)))/15)</f>
      </c>
    </row>
    <row r="41" ht="30" customHeight="1" spans="1:14" x14ac:dyDescent="0.25">
      <c r="A41" s="20">
        <f>IF(Register!A41="","",Register!A41)</f>
      </c>
      <c r="B41" s="20">
        <f>IF(Register!C41="","",Register!C41)</f>
      </c>
      <c r="C41" s="20">
        <f>IF(OR(IF(Register!U41="",Register!T41,Register!U41)="",'Eight questions'!F41="",'Eight questions'!J41="",'Eight questions'!L41="",'Eight questions'!M41="",'Eight questions'!O41=""),"",IF(AND(IF(Register!U41="",Register!T41,Register!U41)&lt;&gt;"Agent",VALUE(LEFT('Eight questions'!F41,1))&lt;=2,'Eight questions'!O41="Read only",OR('Eight questions'!J41="Public",'Eight questions'!J41="Internal"),OR('Eight questions'!L41="Nothing",'Eight questions'!L41="Static documents"),'Eight questions'!M41="Yes, in production"),"Quick win","No"))</f>
      </c>
      <c r="D41" s="20">
        <f>IF(C41&lt;&gt;"No","",IF(IF(Register!U41="",Register!T41,Register!U41)="Agent","It is an agent",IF(VALUE(LEFT('Eight questions'!F41,1))&gt;2,"Reach is tier 3 or above",IF('Eight questions'!O41&lt;&gt;"Read only","It is not read only - "&amp;'Eight questions'!O41,IF(OR('Eight questions'!J41="Confidential",'Eight questions'!J41="Regulated"),"Data class is "&amp;'Eight questions'!J41,IF(OR('Eight questions'!L41="Live system state",'Eight questions'!L41="Take an action",'Eight questions'!L41="Analytical data"),"The source is not static - "&amp;'Eight questions'!L41,IF('Eight questions'!M41&lt;&gt;"Yes, in production","The connection does not exist in production","")))))))</f>
      </c>
      <c r="E41" s="20">
        <f>IF('Assurance and gate'!K41="","",'Assurance and gate'!K41)</f>
      </c>
      <c r="F41" s="20">
        <f>IF('Eight questions'!M41="","",IF('Eight questions'!M41="No","Yes - programme work, not a quick win","No"))</f>
      </c>
      <c r="G41" s="20">
        <f>IF(IF('Technology direction'!D41="",'Technology direction'!C41,'Technology direction'!D41)="","",IF('Technology direction'!D41="",'Technology direction'!C41,'Technology direction'!D41)&amp;IF('Technology direction'!H41=""," "," - "&amp;'Technology direction'!H41)&amp;IF('Eight questions'!J41="Regulated"," - constrained by regulated data: a stated data location and private networking",IF('Eight questions'!J41="Confidential"," - constrained by confidential data: an explicit DLP policy and a named retention period","")))</f>
      </c>
      <c r="H41" s="20">
        <f>IF(IF('Technology direction'!D41="",'Technology direction'!C41,'Technology direction'!D41)="","",IF(IF('Technology direction'!D41="",'Technology direction'!C41,'Technology direction'!D41)="1 Not AI","Automation or data platform team",IF(IF('Technology direction'!D41="",'Technology direction'!C41,'Technology direction'!D41)="2 Ready-made","Workload team plus a Microsoft 365 administrator",IF(IF('Technology direction'!D41="",'Technology direction'!C41,'Technology direction'!D41)="3 Low-code","Workload team, a Copilot Studio maker, and the Platform team for connectors and DLP","Platform team, pro-code engineers, AI security and evaluation")))&amp;IF('Assurance and gate'!J41&gt;=3," - plus AI Centre of Excellence review",""))</f>
      </c>
      <c r="I41" s="20">
        <f>IF(IF('Technology direction'!D41="",'Technology direction'!C41,'Technology direction'!D41)="","",IF(IF('Technology direction'!D41="",'Technology direction'!C41,'Technology direction'!D41)="1 Not AI","Configuration: days to weeks",IF(IF('Technology direction'!D41="",'Technology direction'!C41,'Technology direction'!D41)="2 Ready-made","Configure and adopt: one to three weeks",IF(IF('Technology direction'!D41="",'Technology direction'!C41,'Technology direction'!D41)="3 Low-code","Low-code build: three to eight weeks",IF(IF('Technology direction'!D41="",'Technology direction'!C41,'Technology direction'!D41)="4 Pro-code","Pro-code build: two to six months","Platform build: six months or more"))))&amp;IF('Eight questions'!M41="No"," - integration-led, and the integration conversation comes first",""))</f>
      </c>
      <c r="J41" s="20">
        <f>IF('Assurance and gate'!J41="","",IF('Assurance and gate'!J41=1,"Standard guardrails only",IF('Assurance and gate'!J41=2,"Named owner spot-checks, plus platform monitoring",IF('Assurance and gate'!J41=3,"Measured pilot, scheduled re-evaluation and a decision gate","A staffed human control that recurs every time the process runs, monitoring, scheduled evaluation and a route to a person")))&amp;" - plus licences, credits and the monthly consumption review")</f>
      </c>
      <c r="K41" s="20">
        <f>IF(OR('Eight questions'!L41="",'Eight questions'!M41=""),"",IF('Eight questions'!M41="No","Months - integration-led",IF(OR('Eight questions'!L41="Live system state",'Eight questions'!L41="Take an action"),"Months",IF('Eight questions'!L41="Analytical data","Weeks to months",IF('Assurance and gate'!J41=4,"Weeks, plus a full assurance cycle","Weeks")))))</f>
      </c>
      <c r="L41" s="20">
        <f>IF(IF('Technology direction'!D41="",'Technology direction'!C41,'Technology direction'!D41)="","",IF(IF('Technology direction'!D41="",'Technology direction'!C41,'Technology direction'!D41)="1 Not AI","Automation or Fabric guidance",IF(IF('Technology direction'!D41="",'Technology direction'!C41,'Technology direction'!D41)="2 Ready-made","Ready-made agent enablement and an adoption workshop",IF(IF('Technology direction'!D41="",'Technology direction'!C41,'Technology direction'!D41)="3 Low-code","Copilot Studio enablement, plus a partner for connectors","An architecture design session, plus a partner for the build")))&amp;IF('Assurance and gate'!J41=4," - plus a responsible AI review",""))</f>
      </c>
      <c r="M41" s="20">
        <f>IF(B41="","",IF('Outcome contract'!C41="","The result, stated as an outcome with a number. ","")&amp;IF('Outcome contract'!E41="","Baseline today. ","")&amp;IF('Outcome contract'!F41="","Target. ","")&amp;IF('Outcome contract'!G41="","Owner for the build. ","")&amp;IF('Outcome contract'!H41="","Owner after go-live. ","")&amp;IF('Outcome contract'!I41="","The boundary: what it will refuse to do. ","")&amp;IF(COUNTBLANK('Outcome contract'!M41)&gt;0,"V1 how many people do this work today. ","")&amp;IF(COUNTBLANK('Outcome contract'!N41)&gt;0,"V2 how often it happens. ","")&amp;IF(COUNTBLANK('Outcome contract'!O41)&gt;0,"V3 how long it takes each time. ","")&amp;IF(COUNTBLANK('Outcome contract'!P41)&gt;0,"V4 how often it goes wrong and what that costs. ","")&amp;IF('Outcome contract'!S41="","V6 what happens to the time saved. ","")&amp;IF('Eight questions'!J41="","Data classification. ","")&amp;IF('Eight questions'!M41="","Whether the connection already exists. ","")&amp;IF('Eight questions'!O41="","What a wrong answer costs. ","")&amp;IF(AND('Eight questions'!J41="Regulated",'Eight questions'!I41=""),"Consent and residency position. ",""))</f>
      </c>
      <c r="N41" s="21">
        <f>IF(B41="","",(15-(IF('Outcome contract'!C41="",1,0)+IF('Outcome contract'!E41="",1,0)+IF('Outcome contract'!F41="",1,0)+IF('Outcome contract'!G41="",1,0)+IF('Outcome contract'!H41="",1,0)+IF('Outcome contract'!I41="",1,0)+COUNTBLANK('Outcome contract'!M41)+COUNTBLANK('Outcome contract'!N41)+COUNTBLANK('Outcome contract'!O41)+COUNTBLANK('Outcome contract'!P41)+IF('Outcome contract'!S41="",1,0)+IF('Eight questions'!J41="",1,0)+IF('Eight questions'!M41="",1,0)+IF('Eight questions'!O41="",1,0)+IF('Eight questions'!C41="",1,0)))/15)</f>
      </c>
    </row>
    <row r="42" ht="30" customHeight="1" spans="1:14" x14ac:dyDescent="0.25">
      <c r="A42" s="20">
        <f>IF(Register!A42="","",Register!A42)</f>
      </c>
      <c r="B42" s="20">
        <f>IF(Register!C42="","",Register!C42)</f>
      </c>
      <c r="C42" s="20">
        <f>IF(OR(IF(Register!U42="",Register!T42,Register!U42)="",'Eight questions'!F42="",'Eight questions'!J42="",'Eight questions'!L42="",'Eight questions'!M42="",'Eight questions'!O42=""),"",IF(AND(IF(Register!U42="",Register!T42,Register!U42)&lt;&gt;"Agent",VALUE(LEFT('Eight questions'!F42,1))&lt;=2,'Eight questions'!O42="Read only",OR('Eight questions'!J42="Public",'Eight questions'!J42="Internal"),OR('Eight questions'!L42="Nothing",'Eight questions'!L42="Static documents"),'Eight questions'!M42="Yes, in production"),"Quick win","No"))</f>
      </c>
      <c r="D42" s="20">
        <f>IF(C42&lt;&gt;"No","",IF(IF(Register!U42="",Register!T42,Register!U42)="Agent","It is an agent",IF(VALUE(LEFT('Eight questions'!F42,1))&gt;2,"Reach is tier 3 or above",IF('Eight questions'!O42&lt;&gt;"Read only","It is not read only - "&amp;'Eight questions'!O42,IF(OR('Eight questions'!J42="Confidential",'Eight questions'!J42="Regulated"),"Data class is "&amp;'Eight questions'!J42,IF(OR('Eight questions'!L42="Live system state",'Eight questions'!L42="Take an action",'Eight questions'!L42="Analytical data"),"The source is not static - "&amp;'Eight questions'!L42,IF('Eight questions'!M42&lt;&gt;"Yes, in production","The connection does not exist in production","")))))))</f>
      </c>
      <c r="E42" s="20">
        <f>IF('Assurance and gate'!K42="","",'Assurance and gate'!K42)</f>
      </c>
      <c r="F42" s="20">
        <f>IF('Eight questions'!M42="","",IF('Eight questions'!M42="No","Yes - programme work, not a quick win","No"))</f>
      </c>
      <c r="G42" s="20">
        <f>IF(IF('Technology direction'!D42="",'Technology direction'!C42,'Technology direction'!D42)="","",IF('Technology direction'!D42="",'Technology direction'!C42,'Technology direction'!D42)&amp;IF('Technology direction'!H42=""," "," - "&amp;'Technology direction'!H42)&amp;IF('Eight questions'!J42="Regulated"," - constrained by regulated data: a stated data location and private networking",IF('Eight questions'!J42="Confidential"," - constrained by confidential data: an explicit DLP policy and a named retention period","")))</f>
      </c>
      <c r="H42" s="20">
        <f>IF(IF('Technology direction'!D42="",'Technology direction'!C42,'Technology direction'!D42)="","",IF(IF('Technology direction'!D42="",'Technology direction'!C42,'Technology direction'!D42)="1 Not AI","Automation or data platform team",IF(IF('Technology direction'!D42="",'Technology direction'!C42,'Technology direction'!D42)="2 Ready-made","Workload team plus a Microsoft 365 administrator",IF(IF('Technology direction'!D42="",'Technology direction'!C42,'Technology direction'!D42)="3 Low-code","Workload team, a Copilot Studio maker, and the Platform team for connectors and DLP","Platform team, pro-code engineers, AI security and evaluation")))&amp;IF('Assurance and gate'!J42&gt;=3," - plus AI Centre of Excellence review",""))</f>
      </c>
      <c r="I42" s="20">
        <f>IF(IF('Technology direction'!D42="",'Technology direction'!C42,'Technology direction'!D42)="","",IF(IF('Technology direction'!D42="",'Technology direction'!C42,'Technology direction'!D42)="1 Not AI","Configuration: days to weeks",IF(IF('Technology direction'!D42="",'Technology direction'!C42,'Technology direction'!D42)="2 Ready-made","Configure and adopt: one to three weeks",IF(IF('Technology direction'!D42="",'Technology direction'!C42,'Technology direction'!D42)="3 Low-code","Low-code build: three to eight weeks",IF(IF('Technology direction'!D42="",'Technology direction'!C42,'Technology direction'!D42)="4 Pro-code","Pro-code build: two to six months","Platform build: six months or more"))))&amp;IF('Eight questions'!M42="No"," - integration-led, and the integration conversation comes first",""))</f>
      </c>
      <c r="J42" s="20">
        <f>IF('Assurance and gate'!J42="","",IF('Assurance and gate'!J42=1,"Standard guardrails only",IF('Assurance and gate'!J42=2,"Named owner spot-checks, plus platform monitoring",IF('Assurance and gate'!J42=3,"Measured pilot, scheduled re-evaluation and a decision gate","A staffed human control that recurs every time the process runs, monitoring, scheduled evaluation and a route to a person")))&amp;" - plus licences, credits and the monthly consumption review")</f>
      </c>
      <c r="K42" s="20">
        <f>IF(OR('Eight questions'!L42="",'Eight questions'!M42=""),"",IF('Eight questions'!M42="No","Months - integration-led",IF(OR('Eight questions'!L42="Live system state",'Eight questions'!L42="Take an action"),"Months",IF('Eight questions'!L42="Analytical data","Weeks to months",IF('Assurance and gate'!J42=4,"Weeks, plus a full assurance cycle","Weeks")))))</f>
      </c>
      <c r="L42" s="20">
        <f>IF(IF('Technology direction'!D42="",'Technology direction'!C42,'Technology direction'!D42)="","",IF(IF('Technology direction'!D42="",'Technology direction'!C42,'Technology direction'!D42)="1 Not AI","Automation or Fabric guidance",IF(IF('Technology direction'!D42="",'Technology direction'!C42,'Technology direction'!D42)="2 Ready-made","Ready-made agent enablement and an adoption workshop",IF(IF('Technology direction'!D42="",'Technology direction'!C42,'Technology direction'!D42)="3 Low-code","Copilot Studio enablement, plus a partner for connectors","An architecture design session, plus a partner for the build")))&amp;IF('Assurance and gate'!J42=4," - plus a responsible AI review",""))</f>
      </c>
      <c r="M42" s="20">
        <f>IF(B42="","",IF('Outcome contract'!C42="","The result, stated as an outcome with a number. ","")&amp;IF('Outcome contract'!E42="","Baseline today. ","")&amp;IF('Outcome contract'!F42="","Target. ","")&amp;IF('Outcome contract'!G42="","Owner for the build. ","")&amp;IF('Outcome contract'!H42="","Owner after go-live. ","")&amp;IF('Outcome contract'!I42="","The boundary: what it will refuse to do. ","")&amp;IF(COUNTBLANK('Outcome contract'!M42)&gt;0,"V1 how many people do this work today. ","")&amp;IF(COUNTBLANK('Outcome contract'!N42)&gt;0,"V2 how often it happens. ","")&amp;IF(COUNTBLANK('Outcome contract'!O42)&gt;0,"V3 how long it takes each time. ","")&amp;IF(COUNTBLANK('Outcome contract'!P42)&gt;0,"V4 how often it goes wrong and what that costs. ","")&amp;IF('Outcome contract'!S42="","V6 what happens to the time saved. ","")&amp;IF('Eight questions'!J42="","Data classification. ","")&amp;IF('Eight questions'!M42="","Whether the connection already exists. ","")&amp;IF('Eight questions'!O42="","What a wrong answer costs. ","")&amp;IF(AND('Eight questions'!J42="Regulated",'Eight questions'!I42=""),"Consent and residency position. ",""))</f>
      </c>
      <c r="N42" s="21">
        <f>IF(B42="","",(15-(IF('Outcome contract'!C42="",1,0)+IF('Outcome contract'!E42="",1,0)+IF('Outcome contract'!F42="",1,0)+IF('Outcome contract'!G42="",1,0)+IF('Outcome contract'!H42="",1,0)+IF('Outcome contract'!I42="",1,0)+COUNTBLANK('Outcome contract'!M42)+COUNTBLANK('Outcome contract'!N42)+COUNTBLANK('Outcome contract'!O42)+COUNTBLANK('Outcome contract'!P42)+IF('Outcome contract'!S42="",1,0)+IF('Eight questions'!J42="",1,0)+IF('Eight questions'!M42="",1,0)+IF('Eight questions'!O42="",1,0)+IF('Eight questions'!C42="",1,0)))/15)</f>
      </c>
    </row>
    <row r="43" ht="30" customHeight="1" spans="1:14" x14ac:dyDescent="0.25">
      <c r="A43" s="20">
        <f>IF(Register!A43="","",Register!A43)</f>
      </c>
      <c r="B43" s="20">
        <f>IF(Register!C43="","",Register!C43)</f>
      </c>
      <c r="C43" s="20">
        <f>IF(OR(IF(Register!U43="",Register!T43,Register!U43)="",'Eight questions'!F43="",'Eight questions'!J43="",'Eight questions'!L43="",'Eight questions'!M43="",'Eight questions'!O43=""),"",IF(AND(IF(Register!U43="",Register!T43,Register!U43)&lt;&gt;"Agent",VALUE(LEFT('Eight questions'!F43,1))&lt;=2,'Eight questions'!O43="Read only",OR('Eight questions'!J43="Public",'Eight questions'!J43="Internal"),OR('Eight questions'!L43="Nothing",'Eight questions'!L43="Static documents"),'Eight questions'!M43="Yes, in production"),"Quick win","No"))</f>
      </c>
      <c r="D43" s="20">
        <f>IF(C43&lt;&gt;"No","",IF(IF(Register!U43="",Register!T43,Register!U43)="Agent","It is an agent",IF(VALUE(LEFT('Eight questions'!F43,1))&gt;2,"Reach is tier 3 or above",IF('Eight questions'!O43&lt;&gt;"Read only","It is not read only - "&amp;'Eight questions'!O43,IF(OR('Eight questions'!J43="Confidential",'Eight questions'!J43="Regulated"),"Data class is "&amp;'Eight questions'!J43,IF(OR('Eight questions'!L43="Live system state",'Eight questions'!L43="Take an action",'Eight questions'!L43="Analytical data"),"The source is not static - "&amp;'Eight questions'!L43,IF('Eight questions'!M43&lt;&gt;"Yes, in production","The connection does not exist in production","")))))))</f>
      </c>
      <c r="E43" s="20">
        <f>IF('Assurance and gate'!K43="","",'Assurance and gate'!K43)</f>
      </c>
      <c r="F43" s="20">
        <f>IF('Eight questions'!M43="","",IF('Eight questions'!M43="No","Yes - programme work, not a quick win","No"))</f>
      </c>
      <c r="G43" s="20">
        <f>IF(IF('Technology direction'!D43="",'Technology direction'!C43,'Technology direction'!D43)="","",IF('Technology direction'!D43="",'Technology direction'!C43,'Technology direction'!D43)&amp;IF('Technology direction'!H43=""," "," - "&amp;'Technology direction'!H43)&amp;IF('Eight questions'!J43="Regulated"," - constrained by regulated data: a stated data location and private networking",IF('Eight questions'!J43="Confidential"," - constrained by confidential data: an explicit DLP policy and a named retention period","")))</f>
      </c>
      <c r="H43" s="20">
        <f>IF(IF('Technology direction'!D43="",'Technology direction'!C43,'Technology direction'!D43)="","",IF(IF('Technology direction'!D43="",'Technology direction'!C43,'Technology direction'!D43)="1 Not AI","Automation or data platform team",IF(IF('Technology direction'!D43="",'Technology direction'!C43,'Technology direction'!D43)="2 Ready-made","Workload team plus a Microsoft 365 administrator",IF(IF('Technology direction'!D43="",'Technology direction'!C43,'Technology direction'!D43)="3 Low-code","Workload team, a Copilot Studio maker, and the Platform team for connectors and DLP","Platform team, pro-code engineers, AI security and evaluation")))&amp;IF('Assurance and gate'!J43&gt;=3," - plus AI Centre of Excellence review",""))</f>
      </c>
      <c r="I43" s="20">
        <f>IF(IF('Technology direction'!D43="",'Technology direction'!C43,'Technology direction'!D43)="","",IF(IF('Technology direction'!D43="",'Technology direction'!C43,'Technology direction'!D43)="1 Not AI","Configuration: days to weeks",IF(IF('Technology direction'!D43="",'Technology direction'!C43,'Technology direction'!D43)="2 Ready-made","Configure and adopt: one to three weeks",IF(IF('Technology direction'!D43="",'Technology direction'!C43,'Technology direction'!D43)="3 Low-code","Low-code build: three to eight weeks",IF(IF('Technology direction'!D43="",'Technology direction'!C43,'Technology direction'!D43)="4 Pro-code","Pro-code build: two to six months","Platform build: six months or more"))))&amp;IF('Eight questions'!M43="No"," - integration-led, and the integration conversation comes first",""))</f>
      </c>
      <c r="J43" s="20">
        <f>IF('Assurance and gate'!J43="","",IF('Assurance and gate'!J43=1,"Standard guardrails only",IF('Assurance and gate'!J43=2,"Named owner spot-checks, plus platform monitoring",IF('Assurance and gate'!J43=3,"Measured pilot, scheduled re-evaluation and a decision gate","A staffed human control that recurs every time the process runs, monitoring, scheduled evaluation and a route to a person")))&amp;" - plus licences, credits and the monthly consumption review")</f>
      </c>
      <c r="K43" s="20">
        <f>IF(OR('Eight questions'!L43="",'Eight questions'!M43=""),"",IF('Eight questions'!M43="No","Months - integration-led",IF(OR('Eight questions'!L43="Live system state",'Eight questions'!L43="Take an action"),"Months",IF('Eight questions'!L43="Analytical data","Weeks to months",IF('Assurance and gate'!J43=4,"Weeks, plus a full assurance cycle","Weeks")))))</f>
      </c>
      <c r="L43" s="20">
        <f>IF(IF('Technology direction'!D43="",'Technology direction'!C43,'Technology direction'!D43)="","",IF(IF('Technology direction'!D43="",'Technology direction'!C43,'Technology direction'!D43)="1 Not AI","Automation or Fabric guidance",IF(IF('Technology direction'!D43="",'Technology direction'!C43,'Technology direction'!D43)="2 Ready-made","Ready-made agent enablement and an adoption workshop",IF(IF('Technology direction'!D43="",'Technology direction'!C43,'Technology direction'!D43)="3 Low-code","Copilot Studio enablement, plus a partner for connectors","An architecture design session, plus a partner for the build")))&amp;IF('Assurance and gate'!J43=4," - plus a responsible AI review",""))</f>
      </c>
      <c r="M43" s="20">
        <f>IF(B43="","",IF('Outcome contract'!C43="","The result, stated as an outcome with a number. ","")&amp;IF('Outcome contract'!E43="","Baseline today. ","")&amp;IF('Outcome contract'!F43="","Target. ","")&amp;IF('Outcome contract'!G43="","Owner for the build. ","")&amp;IF('Outcome contract'!H43="","Owner after go-live. ","")&amp;IF('Outcome contract'!I43="","The boundary: what it will refuse to do. ","")&amp;IF(COUNTBLANK('Outcome contract'!M43)&gt;0,"V1 how many people do this work today. ","")&amp;IF(COUNTBLANK('Outcome contract'!N43)&gt;0,"V2 how often it happens. ","")&amp;IF(COUNTBLANK('Outcome contract'!O43)&gt;0,"V3 how long it takes each time. ","")&amp;IF(COUNTBLANK('Outcome contract'!P43)&gt;0,"V4 how often it goes wrong and what that costs. ","")&amp;IF('Outcome contract'!S43="","V6 what happens to the time saved. ","")&amp;IF('Eight questions'!J43="","Data classification. ","")&amp;IF('Eight questions'!M43="","Whether the connection already exists. ","")&amp;IF('Eight questions'!O43="","What a wrong answer costs. ","")&amp;IF(AND('Eight questions'!J43="Regulated",'Eight questions'!I43=""),"Consent and residency position. ",""))</f>
      </c>
      <c r="N43" s="21">
        <f>IF(B43="","",(15-(IF('Outcome contract'!C43="",1,0)+IF('Outcome contract'!E43="",1,0)+IF('Outcome contract'!F43="",1,0)+IF('Outcome contract'!G43="",1,0)+IF('Outcome contract'!H43="",1,0)+IF('Outcome contract'!I43="",1,0)+COUNTBLANK('Outcome contract'!M43)+COUNTBLANK('Outcome contract'!N43)+COUNTBLANK('Outcome contract'!O43)+COUNTBLANK('Outcome contract'!P43)+IF('Outcome contract'!S43="",1,0)+IF('Eight questions'!J43="",1,0)+IF('Eight questions'!M43="",1,0)+IF('Eight questions'!O43="",1,0)+IF('Eight questions'!C43="",1,0)))/15)</f>
      </c>
    </row>
    <row r="44" ht="30" customHeight="1" spans="1:14" x14ac:dyDescent="0.25">
      <c r="A44" s="20">
        <f>IF(Register!A44="","",Register!A44)</f>
      </c>
      <c r="B44" s="20">
        <f>IF(Register!C44="","",Register!C44)</f>
      </c>
      <c r="C44" s="20">
        <f>IF(OR(IF(Register!U44="",Register!T44,Register!U44)="",'Eight questions'!F44="",'Eight questions'!J44="",'Eight questions'!L44="",'Eight questions'!M44="",'Eight questions'!O44=""),"",IF(AND(IF(Register!U44="",Register!T44,Register!U44)&lt;&gt;"Agent",VALUE(LEFT('Eight questions'!F44,1))&lt;=2,'Eight questions'!O44="Read only",OR('Eight questions'!J44="Public",'Eight questions'!J44="Internal"),OR('Eight questions'!L44="Nothing",'Eight questions'!L44="Static documents"),'Eight questions'!M44="Yes, in production"),"Quick win","No"))</f>
      </c>
      <c r="D44" s="20">
        <f>IF(C44&lt;&gt;"No","",IF(IF(Register!U44="",Register!T44,Register!U44)="Agent","It is an agent",IF(VALUE(LEFT('Eight questions'!F44,1))&gt;2,"Reach is tier 3 or above",IF('Eight questions'!O44&lt;&gt;"Read only","It is not read only - "&amp;'Eight questions'!O44,IF(OR('Eight questions'!J44="Confidential",'Eight questions'!J44="Regulated"),"Data class is "&amp;'Eight questions'!J44,IF(OR('Eight questions'!L44="Live system state",'Eight questions'!L44="Take an action",'Eight questions'!L44="Analytical data"),"The source is not static - "&amp;'Eight questions'!L44,IF('Eight questions'!M44&lt;&gt;"Yes, in production","The connection does not exist in production","")))))))</f>
      </c>
      <c r="E44" s="20">
        <f>IF('Assurance and gate'!K44="","",'Assurance and gate'!K44)</f>
      </c>
      <c r="F44" s="20">
        <f>IF('Eight questions'!M44="","",IF('Eight questions'!M44="No","Yes - programme work, not a quick win","No"))</f>
      </c>
      <c r="G44" s="20">
        <f>IF(IF('Technology direction'!D44="",'Technology direction'!C44,'Technology direction'!D44)="","",IF('Technology direction'!D44="",'Technology direction'!C44,'Technology direction'!D44)&amp;IF('Technology direction'!H44=""," "," - "&amp;'Technology direction'!H44)&amp;IF('Eight questions'!J44="Regulated"," - constrained by regulated data: a stated data location and private networking",IF('Eight questions'!J44="Confidential"," - constrained by confidential data: an explicit DLP policy and a named retention period","")))</f>
      </c>
      <c r="H44" s="20">
        <f>IF(IF('Technology direction'!D44="",'Technology direction'!C44,'Technology direction'!D44)="","",IF(IF('Technology direction'!D44="",'Technology direction'!C44,'Technology direction'!D44)="1 Not AI","Automation or data platform team",IF(IF('Technology direction'!D44="",'Technology direction'!C44,'Technology direction'!D44)="2 Ready-made","Workload team plus a Microsoft 365 administrator",IF(IF('Technology direction'!D44="",'Technology direction'!C44,'Technology direction'!D44)="3 Low-code","Workload team, a Copilot Studio maker, and the Platform team for connectors and DLP","Platform team, pro-code engineers, AI security and evaluation")))&amp;IF('Assurance and gate'!J44&gt;=3," - plus AI Centre of Excellence review",""))</f>
      </c>
      <c r="I44" s="20">
        <f>IF(IF('Technology direction'!D44="",'Technology direction'!C44,'Technology direction'!D44)="","",IF(IF('Technology direction'!D44="",'Technology direction'!C44,'Technology direction'!D44)="1 Not AI","Configuration: days to weeks",IF(IF('Technology direction'!D44="",'Technology direction'!C44,'Technology direction'!D44)="2 Ready-made","Configure and adopt: one to three weeks",IF(IF('Technology direction'!D44="",'Technology direction'!C44,'Technology direction'!D44)="3 Low-code","Low-code build: three to eight weeks",IF(IF('Technology direction'!D44="",'Technology direction'!C44,'Technology direction'!D44)="4 Pro-code","Pro-code build: two to six months","Platform build: six months or more"))))&amp;IF('Eight questions'!M44="No"," - integration-led, and the integration conversation comes first",""))</f>
      </c>
      <c r="J44" s="20">
        <f>IF('Assurance and gate'!J44="","",IF('Assurance and gate'!J44=1,"Standard guardrails only",IF('Assurance and gate'!J44=2,"Named owner spot-checks, plus platform monitoring",IF('Assurance and gate'!J44=3,"Measured pilot, scheduled re-evaluation and a decision gate","A staffed human control that recurs every time the process runs, monitoring, scheduled evaluation and a route to a person")))&amp;" - plus licences, credits and the monthly consumption review")</f>
      </c>
      <c r="K44" s="20">
        <f>IF(OR('Eight questions'!L44="",'Eight questions'!M44=""),"",IF('Eight questions'!M44="No","Months - integration-led",IF(OR('Eight questions'!L44="Live system state",'Eight questions'!L44="Take an action"),"Months",IF('Eight questions'!L44="Analytical data","Weeks to months",IF('Assurance and gate'!J44=4,"Weeks, plus a full assurance cycle","Weeks")))))</f>
      </c>
      <c r="L44" s="20">
        <f>IF(IF('Technology direction'!D44="",'Technology direction'!C44,'Technology direction'!D44)="","",IF(IF('Technology direction'!D44="",'Technology direction'!C44,'Technology direction'!D44)="1 Not AI","Automation or Fabric guidance",IF(IF('Technology direction'!D44="",'Technology direction'!C44,'Technology direction'!D44)="2 Ready-made","Ready-made agent enablement and an adoption workshop",IF(IF('Technology direction'!D44="",'Technology direction'!C44,'Technology direction'!D44)="3 Low-code","Copilot Studio enablement, plus a partner for connectors","An architecture design session, plus a partner for the build")))&amp;IF('Assurance and gate'!J44=4," - plus a responsible AI review",""))</f>
      </c>
      <c r="M44" s="20">
        <f>IF(B44="","",IF('Outcome contract'!C44="","The result, stated as an outcome with a number. ","")&amp;IF('Outcome contract'!E44="","Baseline today. ","")&amp;IF('Outcome contract'!F44="","Target. ","")&amp;IF('Outcome contract'!G44="","Owner for the build. ","")&amp;IF('Outcome contract'!H44="","Owner after go-live. ","")&amp;IF('Outcome contract'!I44="","The boundary: what it will refuse to do. ","")&amp;IF(COUNTBLANK('Outcome contract'!M44)&gt;0,"V1 how many people do this work today. ","")&amp;IF(COUNTBLANK('Outcome contract'!N44)&gt;0,"V2 how often it happens. ","")&amp;IF(COUNTBLANK('Outcome contract'!O44)&gt;0,"V3 how long it takes each time. ","")&amp;IF(COUNTBLANK('Outcome contract'!P44)&gt;0,"V4 how often it goes wrong and what that costs. ","")&amp;IF('Outcome contract'!S44="","V6 what happens to the time saved. ","")&amp;IF('Eight questions'!J44="","Data classification. ","")&amp;IF('Eight questions'!M44="","Whether the connection already exists. ","")&amp;IF('Eight questions'!O44="","What a wrong answer costs. ","")&amp;IF(AND('Eight questions'!J44="Regulated",'Eight questions'!I44=""),"Consent and residency position. ",""))</f>
      </c>
      <c r="N44" s="21">
        <f>IF(B44="","",(15-(IF('Outcome contract'!C44="",1,0)+IF('Outcome contract'!E44="",1,0)+IF('Outcome contract'!F44="",1,0)+IF('Outcome contract'!G44="",1,0)+IF('Outcome contract'!H44="",1,0)+IF('Outcome contract'!I44="",1,0)+COUNTBLANK('Outcome contract'!M44)+COUNTBLANK('Outcome contract'!N44)+COUNTBLANK('Outcome contract'!O44)+COUNTBLANK('Outcome contract'!P44)+IF('Outcome contract'!S44="",1,0)+IF('Eight questions'!J44="",1,0)+IF('Eight questions'!M44="",1,0)+IF('Eight questions'!O44="",1,0)+IF('Eight questions'!C44="",1,0)))/15)</f>
      </c>
    </row>
    <row r="45" ht="30" customHeight="1" spans="1:14" x14ac:dyDescent="0.25">
      <c r="A45" s="20">
        <f>IF(Register!A45="","",Register!A45)</f>
      </c>
      <c r="B45" s="20">
        <f>IF(Register!C45="","",Register!C45)</f>
      </c>
      <c r="C45" s="20">
        <f>IF(OR(IF(Register!U45="",Register!T45,Register!U45)="",'Eight questions'!F45="",'Eight questions'!J45="",'Eight questions'!L45="",'Eight questions'!M45="",'Eight questions'!O45=""),"",IF(AND(IF(Register!U45="",Register!T45,Register!U45)&lt;&gt;"Agent",VALUE(LEFT('Eight questions'!F45,1))&lt;=2,'Eight questions'!O45="Read only",OR('Eight questions'!J45="Public",'Eight questions'!J45="Internal"),OR('Eight questions'!L45="Nothing",'Eight questions'!L45="Static documents"),'Eight questions'!M45="Yes, in production"),"Quick win","No"))</f>
      </c>
      <c r="D45" s="20">
        <f>IF(C45&lt;&gt;"No","",IF(IF(Register!U45="",Register!T45,Register!U45)="Agent","It is an agent",IF(VALUE(LEFT('Eight questions'!F45,1))&gt;2,"Reach is tier 3 or above",IF('Eight questions'!O45&lt;&gt;"Read only","It is not read only - "&amp;'Eight questions'!O45,IF(OR('Eight questions'!J45="Confidential",'Eight questions'!J45="Regulated"),"Data class is "&amp;'Eight questions'!J45,IF(OR('Eight questions'!L45="Live system state",'Eight questions'!L45="Take an action",'Eight questions'!L45="Analytical data"),"The source is not static - "&amp;'Eight questions'!L45,IF('Eight questions'!M45&lt;&gt;"Yes, in production","The connection does not exist in production","")))))))</f>
      </c>
      <c r="E45" s="20">
        <f>IF('Assurance and gate'!K45="","",'Assurance and gate'!K45)</f>
      </c>
      <c r="F45" s="20">
        <f>IF('Eight questions'!M45="","",IF('Eight questions'!M45="No","Yes - programme work, not a quick win","No"))</f>
      </c>
      <c r="G45" s="20">
        <f>IF(IF('Technology direction'!D45="",'Technology direction'!C45,'Technology direction'!D45)="","",IF('Technology direction'!D45="",'Technology direction'!C45,'Technology direction'!D45)&amp;IF('Technology direction'!H45=""," "," - "&amp;'Technology direction'!H45)&amp;IF('Eight questions'!J45="Regulated"," - constrained by regulated data: a stated data location and private networking",IF('Eight questions'!J45="Confidential"," - constrained by confidential data: an explicit DLP policy and a named retention period","")))</f>
      </c>
      <c r="H45" s="20">
        <f>IF(IF('Technology direction'!D45="",'Technology direction'!C45,'Technology direction'!D45)="","",IF(IF('Technology direction'!D45="",'Technology direction'!C45,'Technology direction'!D45)="1 Not AI","Automation or data platform team",IF(IF('Technology direction'!D45="",'Technology direction'!C45,'Technology direction'!D45)="2 Ready-made","Workload team plus a Microsoft 365 administrator",IF(IF('Technology direction'!D45="",'Technology direction'!C45,'Technology direction'!D45)="3 Low-code","Workload team, a Copilot Studio maker, and the Platform team for connectors and DLP","Platform team, pro-code engineers, AI security and evaluation")))&amp;IF('Assurance and gate'!J45&gt;=3," - plus AI Centre of Excellence review",""))</f>
      </c>
      <c r="I45" s="20">
        <f>IF(IF('Technology direction'!D45="",'Technology direction'!C45,'Technology direction'!D45)="","",IF(IF('Technology direction'!D45="",'Technology direction'!C45,'Technology direction'!D45)="1 Not AI","Configuration: days to weeks",IF(IF('Technology direction'!D45="",'Technology direction'!C45,'Technology direction'!D45)="2 Ready-made","Configure and adopt: one to three weeks",IF(IF('Technology direction'!D45="",'Technology direction'!C45,'Technology direction'!D45)="3 Low-code","Low-code build: three to eight weeks",IF(IF('Technology direction'!D45="",'Technology direction'!C45,'Technology direction'!D45)="4 Pro-code","Pro-code build: two to six months","Platform build: six months or more"))))&amp;IF('Eight questions'!M45="No"," - integration-led, and the integration conversation comes first",""))</f>
      </c>
      <c r="J45" s="20">
        <f>IF('Assurance and gate'!J45="","",IF('Assurance and gate'!J45=1,"Standard guardrails only",IF('Assurance and gate'!J45=2,"Named owner spot-checks, plus platform monitoring",IF('Assurance and gate'!J45=3,"Measured pilot, scheduled re-evaluation and a decision gate","A staffed human control that recurs every time the process runs, monitoring, scheduled evaluation and a route to a person")))&amp;" - plus licences, credits and the monthly consumption review")</f>
      </c>
      <c r="K45" s="20">
        <f>IF(OR('Eight questions'!L45="",'Eight questions'!M45=""),"",IF('Eight questions'!M45="No","Months - integration-led",IF(OR('Eight questions'!L45="Live system state",'Eight questions'!L45="Take an action"),"Months",IF('Eight questions'!L45="Analytical data","Weeks to months",IF('Assurance and gate'!J45=4,"Weeks, plus a full assurance cycle","Weeks")))))</f>
      </c>
      <c r="L45" s="20">
        <f>IF(IF('Technology direction'!D45="",'Technology direction'!C45,'Technology direction'!D45)="","",IF(IF('Technology direction'!D45="",'Technology direction'!C45,'Technology direction'!D45)="1 Not AI","Automation or Fabric guidance",IF(IF('Technology direction'!D45="",'Technology direction'!C45,'Technology direction'!D45)="2 Ready-made","Ready-made agent enablement and an adoption workshop",IF(IF('Technology direction'!D45="",'Technology direction'!C45,'Technology direction'!D45)="3 Low-code","Copilot Studio enablement, plus a partner for connectors","An architecture design session, plus a partner for the build")))&amp;IF('Assurance and gate'!J45=4," - plus a responsible AI review",""))</f>
      </c>
      <c r="M45" s="20">
        <f>IF(B45="","",IF('Outcome contract'!C45="","The result, stated as an outcome with a number. ","")&amp;IF('Outcome contract'!E45="","Baseline today. ","")&amp;IF('Outcome contract'!F45="","Target. ","")&amp;IF('Outcome contract'!G45="","Owner for the build. ","")&amp;IF('Outcome contract'!H45="","Owner after go-live. ","")&amp;IF('Outcome contract'!I45="","The boundary: what it will refuse to do. ","")&amp;IF(COUNTBLANK('Outcome contract'!M45)&gt;0,"V1 how many people do this work today. ","")&amp;IF(COUNTBLANK('Outcome contract'!N45)&gt;0,"V2 how often it happens. ","")&amp;IF(COUNTBLANK('Outcome contract'!O45)&gt;0,"V3 how long it takes each time. ","")&amp;IF(COUNTBLANK('Outcome contract'!P45)&gt;0,"V4 how often it goes wrong and what that costs. ","")&amp;IF('Outcome contract'!S45="","V6 what happens to the time saved. ","")&amp;IF('Eight questions'!J45="","Data classification. ","")&amp;IF('Eight questions'!M45="","Whether the connection already exists. ","")&amp;IF('Eight questions'!O45="","What a wrong answer costs. ","")&amp;IF(AND('Eight questions'!J45="Regulated",'Eight questions'!I45=""),"Consent and residency position. ",""))</f>
      </c>
      <c r="N45" s="21">
        <f>IF(B45="","",(15-(IF('Outcome contract'!C45="",1,0)+IF('Outcome contract'!E45="",1,0)+IF('Outcome contract'!F45="",1,0)+IF('Outcome contract'!G45="",1,0)+IF('Outcome contract'!H45="",1,0)+IF('Outcome contract'!I45="",1,0)+COUNTBLANK('Outcome contract'!M45)+COUNTBLANK('Outcome contract'!N45)+COUNTBLANK('Outcome contract'!O45)+COUNTBLANK('Outcome contract'!P45)+IF('Outcome contract'!S45="",1,0)+IF('Eight questions'!J45="",1,0)+IF('Eight questions'!M45="",1,0)+IF('Eight questions'!O45="",1,0)+IF('Eight questions'!C45="",1,0)))/15)</f>
      </c>
    </row>
    <row r="46" ht="30" customHeight="1" spans="1:14" x14ac:dyDescent="0.25">
      <c r="A46" s="20">
        <f>IF(Register!A46="","",Register!A46)</f>
      </c>
      <c r="B46" s="20">
        <f>IF(Register!C46="","",Register!C46)</f>
      </c>
      <c r="C46" s="20">
        <f>IF(OR(IF(Register!U46="",Register!T46,Register!U46)="",'Eight questions'!F46="",'Eight questions'!J46="",'Eight questions'!L46="",'Eight questions'!M46="",'Eight questions'!O46=""),"",IF(AND(IF(Register!U46="",Register!T46,Register!U46)&lt;&gt;"Agent",VALUE(LEFT('Eight questions'!F46,1))&lt;=2,'Eight questions'!O46="Read only",OR('Eight questions'!J46="Public",'Eight questions'!J46="Internal"),OR('Eight questions'!L46="Nothing",'Eight questions'!L46="Static documents"),'Eight questions'!M46="Yes, in production"),"Quick win","No"))</f>
      </c>
      <c r="D46" s="20">
        <f>IF(C46&lt;&gt;"No","",IF(IF(Register!U46="",Register!T46,Register!U46)="Agent","It is an agent",IF(VALUE(LEFT('Eight questions'!F46,1))&gt;2,"Reach is tier 3 or above",IF('Eight questions'!O46&lt;&gt;"Read only","It is not read only - "&amp;'Eight questions'!O46,IF(OR('Eight questions'!J46="Confidential",'Eight questions'!J46="Regulated"),"Data class is "&amp;'Eight questions'!J46,IF(OR('Eight questions'!L46="Live system state",'Eight questions'!L46="Take an action",'Eight questions'!L46="Analytical data"),"The source is not static - "&amp;'Eight questions'!L46,IF('Eight questions'!M46&lt;&gt;"Yes, in production","The connection does not exist in production","")))))))</f>
      </c>
      <c r="E46" s="20">
        <f>IF('Assurance and gate'!K46="","",'Assurance and gate'!K46)</f>
      </c>
      <c r="F46" s="20">
        <f>IF('Eight questions'!M46="","",IF('Eight questions'!M46="No","Yes - programme work, not a quick win","No"))</f>
      </c>
      <c r="G46" s="20">
        <f>IF(IF('Technology direction'!D46="",'Technology direction'!C46,'Technology direction'!D46)="","",IF('Technology direction'!D46="",'Technology direction'!C46,'Technology direction'!D46)&amp;IF('Technology direction'!H46=""," "," - "&amp;'Technology direction'!H46)&amp;IF('Eight questions'!J46="Regulated"," - constrained by regulated data: a stated data location and private networking",IF('Eight questions'!J46="Confidential"," - constrained by confidential data: an explicit DLP policy and a named retention period","")))</f>
      </c>
      <c r="H46" s="20">
        <f>IF(IF('Technology direction'!D46="",'Technology direction'!C46,'Technology direction'!D46)="","",IF(IF('Technology direction'!D46="",'Technology direction'!C46,'Technology direction'!D46)="1 Not AI","Automation or data platform team",IF(IF('Technology direction'!D46="",'Technology direction'!C46,'Technology direction'!D46)="2 Ready-made","Workload team plus a Microsoft 365 administrator",IF(IF('Technology direction'!D46="",'Technology direction'!C46,'Technology direction'!D46)="3 Low-code","Workload team, a Copilot Studio maker, and the Platform team for connectors and DLP","Platform team, pro-code engineers, AI security and evaluation")))&amp;IF('Assurance and gate'!J46&gt;=3," - plus AI Centre of Excellence review",""))</f>
      </c>
      <c r="I46" s="20">
        <f>IF(IF('Technology direction'!D46="",'Technology direction'!C46,'Technology direction'!D46)="","",IF(IF('Technology direction'!D46="",'Technology direction'!C46,'Technology direction'!D46)="1 Not AI","Configuration: days to weeks",IF(IF('Technology direction'!D46="",'Technology direction'!C46,'Technology direction'!D46)="2 Ready-made","Configure and adopt: one to three weeks",IF(IF('Technology direction'!D46="",'Technology direction'!C46,'Technology direction'!D46)="3 Low-code","Low-code build: three to eight weeks",IF(IF('Technology direction'!D46="",'Technology direction'!C46,'Technology direction'!D46)="4 Pro-code","Pro-code build: two to six months","Platform build: six months or more"))))&amp;IF('Eight questions'!M46="No"," - integration-led, and the integration conversation comes first",""))</f>
      </c>
      <c r="J46" s="20">
        <f>IF('Assurance and gate'!J46="","",IF('Assurance and gate'!J46=1,"Standard guardrails only",IF('Assurance and gate'!J46=2,"Named owner spot-checks, plus platform monitoring",IF('Assurance and gate'!J46=3,"Measured pilot, scheduled re-evaluation and a decision gate","A staffed human control that recurs every time the process runs, monitoring, scheduled evaluation and a route to a person")))&amp;" - plus licences, credits and the monthly consumption review")</f>
      </c>
      <c r="K46" s="20">
        <f>IF(OR('Eight questions'!L46="",'Eight questions'!M46=""),"",IF('Eight questions'!M46="No","Months - integration-led",IF(OR('Eight questions'!L46="Live system state",'Eight questions'!L46="Take an action"),"Months",IF('Eight questions'!L46="Analytical data","Weeks to months",IF('Assurance and gate'!J46=4,"Weeks, plus a full assurance cycle","Weeks")))))</f>
      </c>
      <c r="L46" s="20">
        <f>IF(IF('Technology direction'!D46="",'Technology direction'!C46,'Technology direction'!D46)="","",IF(IF('Technology direction'!D46="",'Technology direction'!C46,'Technology direction'!D46)="1 Not AI","Automation or Fabric guidance",IF(IF('Technology direction'!D46="",'Technology direction'!C46,'Technology direction'!D46)="2 Ready-made","Ready-made agent enablement and an adoption workshop",IF(IF('Technology direction'!D46="",'Technology direction'!C46,'Technology direction'!D46)="3 Low-code","Copilot Studio enablement, plus a partner for connectors","An architecture design session, plus a partner for the build")))&amp;IF('Assurance and gate'!J46=4," - plus a responsible AI review",""))</f>
      </c>
      <c r="M46" s="20">
        <f>IF(B46="","",IF('Outcome contract'!C46="","The result, stated as an outcome with a number. ","")&amp;IF('Outcome contract'!E46="","Baseline today. ","")&amp;IF('Outcome contract'!F46="","Target. ","")&amp;IF('Outcome contract'!G46="","Owner for the build. ","")&amp;IF('Outcome contract'!H46="","Owner after go-live. ","")&amp;IF('Outcome contract'!I46="","The boundary: what it will refuse to do. ","")&amp;IF(COUNTBLANK('Outcome contract'!M46)&gt;0,"V1 how many people do this work today. ","")&amp;IF(COUNTBLANK('Outcome contract'!N46)&gt;0,"V2 how often it happens. ","")&amp;IF(COUNTBLANK('Outcome contract'!O46)&gt;0,"V3 how long it takes each time. ","")&amp;IF(COUNTBLANK('Outcome contract'!P46)&gt;0,"V4 how often it goes wrong and what that costs. ","")&amp;IF('Outcome contract'!S46="","V6 what happens to the time saved. ","")&amp;IF('Eight questions'!J46="","Data classification. ","")&amp;IF('Eight questions'!M46="","Whether the connection already exists. ","")&amp;IF('Eight questions'!O46="","What a wrong answer costs. ","")&amp;IF(AND('Eight questions'!J46="Regulated",'Eight questions'!I46=""),"Consent and residency position. ",""))</f>
      </c>
      <c r="N46" s="21">
        <f>IF(B46="","",(15-(IF('Outcome contract'!C46="",1,0)+IF('Outcome contract'!E46="",1,0)+IF('Outcome contract'!F46="",1,0)+IF('Outcome contract'!G46="",1,0)+IF('Outcome contract'!H46="",1,0)+IF('Outcome contract'!I46="",1,0)+COUNTBLANK('Outcome contract'!M46)+COUNTBLANK('Outcome contract'!N46)+COUNTBLANK('Outcome contract'!O46)+COUNTBLANK('Outcome contract'!P46)+IF('Outcome contract'!S46="",1,0)+IF('Eight questions'!J46="",1,0)+IF('Eight questions'!M46="",1,0)+IF('Eight questions'!O46="",1,0)+IF('Eight questions'!C46="",1,0)))/15)</f>
      </c>
    </row>
    <row r="47" ht="30" customHeight="1" spans="1:14" x14ac:dyDescent="0.25">
      <c r="A47" s="20">
        <f>IF(Register!A47="","",Register!A47)</f>
      </c>
      <c r="B47" s="20">
        <f>IF(Register!C47="","",Register!C47)</f>
      </c>
      <c r="C47" s="20">
        <f>IF(OR(IF(Register!U47="",Register!T47,Register!U47)="",'Eight questions'!F47="",'Eight questions'!J47="",'Eight questions'!L47="",'Eight questions'!M47="",'Eight questions'!O47=""),"",IF(AND(IF(Register!U47="",Register!T47,Register!U47)&lt;&gt;"Agent",VALUE(LEFT('Eight questions'!F47,1))&lt;=2,'Eight questions'!O47="Read only",OR('Eight questions'!J47="Public",'Eight questions'!J47="Internal"),OR('Eight questions'!L47="Nothing",'Eight questions'!L47="Static documents"),'Eight questions'!M47="Yes, in production"),"Quick win","No"))</f>
      </c>
      <c r="D47" s="20">
        <f>IF(C47&lt;&gt;"No","",IF(IF(Register!U47="",Register!T47,Register!U47)="Agent","It is an agent",IF(VALUE(LEFT('Eight questions'!F47,1))&gt;2,"Reach is tier 3 or above",IF('Eight questions'!O47&lt;&gt;"Read only","It is not read only - "&amp;'Eight questions'!O47,IF(OR('Eight questions'!J47="Confidential",'Eight questions'!J47="Regulated"),"Data class is "&amp;'Eight questions'!J47,IF(OR('Eight questions'!L47="Live system state",'Eight questions'!L47="Take an action",'Eight questions'!L47="Analytical data"),"The source is not static - "&amp;'Eight questions'!L47,IF('Eight questions'!M47&lt;&gt;"Yes, in production","The connection does not exist in production","")))))))</f>
      </c>
      <c r="E47" s="20">
        <f>IF('Assurance and gate'!K47="","",'Assurance and gate'!K47)</f>
      </c>
      <c r="F47" s="20">
        <f>IF('Eight questions'!M47="","",IF('Eight questions'!M47="No","Yes - programme work, not a quick win","No"))</f>
      </c>
      <c r="G47" s="20">
        <f>IF(IF('Technology direction'!D47="",'Technology direction'!C47,'Technology direction'!D47)="","",IF('Technology direction'!D47="",'Technology direction'!C47,'Technology direction'!D47)&amp;IF('Technology direction'!H47=""," "," - "&amp;'Technology direction'!H47)&amp;IF('Eight questions'!J47="Regulated"," - constrained by regulated data: a stated data location and private networking",IF('Eight questions'!J47="Confidential"," - constrained by confidential data: an explicit DLP policy and a named retention period","")))</f>
      </c>
      <c r="H47" s="20">
        <f>IF(IF('Technology direction'!D47="",'Technology direction'!C47,'Technology direction'!D47)="","",IF(IF('Technology direction'!D47="",'Technology direction'!C47,'Technology direction'!D47)="1 Not AI","Automation or data platform team",IF(IF('Technology direction'!D47="",'Technology direction'!C47,'Technology direction'!D47)="2 Ready-made","Workload team plus a Microsoft 365 administrator",IF(IF('Technology direction'!D47="",'Technology direction'!C47,'Technology direction'!D47)="3 Low-code","Workload team, a Copilot Studio maker, and the Platform team for connectors and DLP","Platform team, pro-code engineers, AI security and evaluation")))&amp;IF('Assurance and gate'!J47&gt;=3," - plus AI Centre of Excellence review",""))</f>
      </c>
      <c r="I47" s="20">
        <f>IF(IF('Technology direction'!D47="",'Technology direction'!C47,'Technology direction'!D47)="","",IF(IF('Technology direction'!D47="",'Technology direction'!C47,'Technology direction'!D47)="1 Not AI","Configuration: days to weeks",IF(IF('Technology direction'!D47="",'Technology direction'!C47,'Technology direction'!D47)="2 Ready-made","Configure and adopt: one to three weeks",IF(IF('Technology direction'!D47="",'Technology direction'!C47,'Technology direction'!D47)="3 Low-code","Low-code build: three to eight weeks",IF(IF('Technology direction'!D47="",'Technology direction'!C47,'Technology direction'!D47)="4 Pro-code","Pro-code build: two to six months","Platform build: six months or more"))))&amp;IF('Eight questions'!M47="No"," - integration-led, and the integration conversation comes first",""))</f>
      </c>
      <c r="J47" s="20">
        <f>IF('Assurance and gate'!J47="","",IF('Assurance and gate'!J47=1,"Standard guardrails only",IF('Assurance and gate'!J47=2,"Named owner spot-checks, plus platform monitoring",IF('Assurance and gate'!J47=3,"Measured pilot, scheduled re-evaluation and a decision gate","A staffed human control that recurs every time the process runs, monitoring, scheduled evaluation and a route to a person")))&amp;" - plus licences, credits and the monthly consumption review")</f>
      </c>
      <c r="K47" s="20">
        <f>IF(OR('Eight questions'!L47="",'Eight questions'!M47=""),"",IF('Eight questions'!M47="No","Months - integration-led",IF(OR('Eight questions'!L47="Live system state",'Eight questions'!L47="Take an action"),"Months",IF('Eight questions'!L47="Analytical data","Weeks to months",IF('Assurance and gate'!J47=4,"Weeks, plus a full assurance cycle","Weeks")))))</f>
      </c>
      <c r="L47" s="20">
        <f>IF(IF('Technology direction'!D47="",'Technology direction'!C47,'Technology direction'!D47)="","",IF(IF('Technology direction'!D47="",'Technology direction'!C47,'Technology direction'!D47)="1 Not AI","Automation or Fabric guidance",IF(IF('Technology direction'!D47="",'Technology direction'!C47,'Technology direction'!D47)="2 Ready-made","Ready-made agent enablement and an adoption workshop",IF(IF('Technology direction'!D47="",'Technology direction'!C47,'Technology direction'!D47)="3 Low-code","Copilot Studio enablement, plus a partner for connectors","An architecture design session, plus a partner for the build")))&amp;IF('Assurance and gate'!J47=4," - plus a responsible AI review",""))</f>
      </c>
      <c r="M47" s="20">
        <f>IF(B47="","",IF('Outcome contract'!C47="","The result, stated as an outcome with a number. ","")&amp;IF('Outcome contract'!E47="","Baseline today. ","")&amp;IF('Outcome contract'!F47="","Target. ","")&amp;IF('Outcome contract'!G47="","Owner for the build. ","")&amp;IF('Outcome contract'!H47="","Owner after go-live. ","")&amp;IF('Outcome contract'!I47="","The boundary: what it will refuse to do. ","")&amp;IF(COUNTBLANK('Outcome contract'!M47)&gt;0,"V1 how many people do this work today. ","")&amp;IF(COUNTBLANK('Outcome contract'!N47)&gt;0,"V2 how often it happens. ","")&amp;IF(COUNTBLANK('Outcome contract'!O47)&gt;0,"V3 how long it takes each time. ","")&amp;IF(COUNTBLANK('Outcome contract'!P47)&gt;0,"V4 how often it goes wrong and what that costs. ","")&amp;IF('Outcome contract'!S47="","V6 what happens to the time saved. ","")&amp;IF('Eight questions'!J47="","Data classification. ","")&amp;IF('Eight questions'!M47="","Whether the connection already exists. ","")&amp;IF('Eight questions'!O47="","What a wrong answer costs. ","")&amp;IF(AND('Eight questions'!J47="Regulated",'Eight questions'!I47=""),"Consent and residency position. ",""))</f>
      </c>
      <c r="N47" s="21">
        <f>IF(B47="","",(15-(IF('Outcome contract'!C47="",1,0)+IF('Outcome contract'!E47="",1,0)+IF('Outcome contract'!F47="",1,0)+IF('Outcome contract'!G47="",1,0)+IF('Outcome contract'!H47="",1,0)+IF('Outcome contract'!I47="",1,0)+COUNTBLANK('Outcome contract'!M47)+COUNTBLANK('Outcome contract'!N47)+COUNTBLANK('Outcome contract'!O47)+COUNTBLANK('Outcome contract'!P47)+IF('Outcome contract'!S47="",1,0)+IF('Eight questions'!J47="",1,0)+IF('Eight questions'!M47="",1,0)+IF('Eight questions'!O47="",1,0)+IF('Eight questions'!C47="",1,0)))/15)</f>
      </c>
    </row>
    <row r="48" ht="30" customHeight="1" spans="1:14" x14ac:dyDescent="0.25">
      <c r="A48" s="20">
        <f>IF(Register!A48="","",Register!A48)</f>
      </c>
      <c r="B48" s="20">
        <f>IF(Register!C48="","",Register!C48)</f>
      </c>
      <c r="C48" s="20">
        <f>IF(OR(IF(Register!U48="",Register!T48,Register!U48)="",'Eight questions'!F48="",'Eight questions'!J48="",'Eight questions'!L48="",'Eight questions'!M48="",'Eight questions'!O48=""),"",IF(AND(IF(Register!U48="",Register!T48,Register!U48)&lt;&gt;"Agent",VALUE(LEFT('Eight questions'!F48,1))&lt;=2,'Eight questions'!O48="Read only",OR('Eight questions'!J48="Public",'Eight questions'!J48="Internal"),OR('Eight questions'!L48="Nothing",'Eight questions'!L48="Static documents"),'Eight questions'!M48="Yes, in production"),"Quick win","No"))</f>
      </c>
      <c r="D48" s="20">
        <f>IF(C48&lt;&gt;"No","",IF(IF(Register!U48="",Register!T48,Register!U48)="Agent","It is an agent",IF(VALUE(LEFT('Eight questions'!F48,1))&gt;2,"Reach is tier 3 or above",IF('Eight questions'!O48&lt;&gt;"Read only","It is not read only - "&amp;'Eight questions'!O48,IF(OR('Eight questions'!J48="Confidential",'Eight questions'!J48="Regulated"),"Data class is "&amp;'Eight questions'!J48,IF(OR('Eight questions'!L48="Live system state",'Eight questions'!L48="Take an action",'Eight questions'!L48="Analytical data"),"The source is not static - "&amp;'Eight questions'!L48,IF('Eight questions'!M48&lt;&gt;"Yes, in production","The connection does not exist in production","")))))))</f>
      </c>
      <c r="E48" s="20">
        <f>IF('Assurance and gate'!K48="","",'Assurance and gate'!K48)</f>
      </c>
      <c r="F48" s="20">
        <f>IF('Eight questions'!M48="","",IF('Eight questions'!M48="No","Yes - programme work, not a quick win","No"))</f>
      </c>
      <c r="G48" s="20">
        <f>IF(IF('Technology direction'!D48="",'Technology direction'!C48,'Technology direction'!D48)="","",IF('Technology direction'!D48="",'Technology direction'!C48,'Technology direction'!D48)&amp;IF('Technology direction'!H48=""," "," - "&amp;'Technology direction'!H48)&amp;IF('Eight questions'!J48="Regulated"," - constrained by regulated data: a stated data location and private networking",IF('Eight questions'!J48="Confidential"," - constrained by confidential data: an explicit DLP policy and a named retention period","")))</f>
      </c>
      <c r="H48" s="20">
        <f>IF(IF('Technology direction'!D48="",'Technology direction'!C48,'Technology direction'!D48)="","",IF(IF('Technology direction'!D48="",'Technology direction'!C48,'Technology direction'!D48)="1 Not AI","Automation or data platform team",IF(IF('Technology direction'!D48="",'Technology direction'!C48,'Technology direction'!D48)="2 Ready-made","Workload team plus a Microsoft 365 administrator",IF(IF('Technology direction'!D48="",'Technology direction'!C48,'Technology direction'!D48)="3 Low-code","Workload team, a Copilot Studio maker, and the Platform team for connectors and DLP","Platform team, pro-code engineers, AI security and evaluation")))&amp;IF('Assurance and gate'!J48&gt;=3," - plus AI Centre of Excellence review",""))</f>
      </c>
      <c r="I48" s="20">
        <f>IF(IF('Technology direction'!D48="",'Technology direction'!C48,'Technology direction'!D48)="","",IF(IF('Technology direction'!D48="",'Technology direction'!C48,'Technology direction'!D48)="1 Not AI","Configuration: days to weeks",IF(IF('Technology direction'!D48="",'Technology direction'!C48,'Technology direction'!D48)="2 Ready-made","Configure and adopt: one to three weeks",IF(IF('Technology direction'!D48="",'Technology direction'!C48,'Technology direction'!D48)="3 Low-code","Low-code build: three to eight weeks",IF(IF('Technology direction'!D48="",'Technology direction'!C48,'Technology direction'!D48)="4 Pro-code","Pro-code build: two to six months","Platform build: six months or more"))))&amp;IF('Eight questions'!M48="No"," - integration-led, and the integration conversation comes first",""))</f>
      </c>
      <c r="J48" s="20">
        <f>IF('Assurance and gate'!J48="","",IF('Assurance and gate'!J48=1,"Standard guardrails only",IF('Assurance and gate'!J48=2,"Named owner spot-checks, plus platform monitoring",IF('Assurance and gate'!J48=3,"Measured pilot, scheduled re-evaluation and a decision gate","A staffed human control that recurs every time the process runs, monitoring, scheduled evaluation and a route to a person")))&amp;" - plus licences, credits and the monthly consumption review")</f>
      </c>
      <c r="K48" s="20">
        <f>IF(OR('Eight questions'!L48="",'Eight questions'!M48=""),"",IF('Eight questions'!M48="No","Months - integration-led",IF(OR('Eight questions'!L48="Live system state",'Eight questions'!L48="Take an action"),"Months",IF('Eight questions'!L48="Analytical data","Weeks to months",IF('Assurance and gate'!J48=4,"Weeks, plus a full assurance cycle","Weeks")))))</f>
      </c>
      <c r="L48" s="20">
        <f>IF(IF('Technology direction'!D48="",'Technology direction'!C48,'Technology direction'!D48)="","",IF(IF('Technology direction'!D48="",'Technology direction'!C48,'Technology direction'!D48)="1 Not AI","Automation or Fabric guidance",IF(IF('Technology direction'!D48="",'Technology direction'!C48,'Technology direction'!D48)="2 Ready-made","Ready-made agent enablement and an adoption workshop",IF(IF('Technology direction'!D48="",'Technology direction'!C48,'Technology direction'!D48)="3 Low-code","Copilot Studio enablement, plus a partner for connectors","An architecture design session, plus a partner for the build")))&amp;IF('Assurance and gate'!J48=4," - plus a responsible AI review",""))</f>
      </c>
      <c r="M48" s="20">
        <f>IF(B48="","",IF('Outcome contract'!C48="","The result, stated as an outcome with a number. ","")&amp;IF('Outcome contract'!E48="","Baseline today. ","")&amp;IF('Outcome contract'!F48="","Target. ","")&amp;IF('Outcome contract'!G48="","Owner for the build. ","")&amp;IF('Outcome contract'!H48="","Owner after go-live. ","")&amp;IF('Outcome contract'!I48="","The boundary: what it will refuse to do. ","")&amp;IF(COUNTBLANK('Outcome contract'!M48)&gt;0,"V1 how many people do this work today. ","")&amp;IF(COUNTBLANK('Outcome contract'!N48)&gt;0,"V2 how often it happens. ","")&amp;IF(COUNTBLANK('Outcome contract'!O48)&gt;0,"V3 how long it takes each time. ","")&amp;IF(COUNTBLANK('Outcome contract'!P48)&gt;0,"V4 how often it goes wrong and what that costs. ","")&amp;IF('Outcome contract'!S48="","V6 what happens to the time saved. ","")&amp;IF('Eight questions'!J48="","Data classification. ","")&amp;IF('Eight questions'!M48="","Whether the connection already exists. ","")&amp;IF('Eight questions'!O48="","What a wrong answer costs. ","")&amp;IF(AND('Eight questions'!J48="Regulated",'Eight questions'!I48=""),"Consent and residency position. ",""))</f>
      </c>
      <c r="N48" s="21">
        <f>IF(B48="","",(15-(IF('Outcome contract'!C48="",1,0)+IF('Outcome contract'!E48="",1,0)+IF('Outcome contract'!F48="",1,0)+IF('Outcome contract'!G48="",1,0)+IF('Outcome contract'!H48="",1,0)+IF('Outcome contract'!I48="",1,0)+COUNTBLANK('Outcome contract'!M48)+COUNTBLANK('Outcome contract'!N48)+COUNTBLANK('Outcome contract'!O48)+COUNTBLANK('Outcome contract'!P48)+IF('Outcome contract'!S48="",1,0)+IF('Eight questions'!J48="",1,0)+IF('Eight questions'!M48="",1,0)+IF('Eight questions'!O48="",1,0)+IF('Eight questions'!C48="",1,0)))/15)</f>
      </c>
    </row>
    <row r="49" ht="30" customHeight="1" spans="1:14" x14ac:dyDescent="0.25">
      <c r="A49" s="20">
        <f>IF(Register!A49="","",Register!A49)</f>
      </c>
      <c r="B49" s="20">
        <f>IF(Register!C49="","",Register!C49)</f>
      </c>
      <c r="C49" s="20">
        <f>IF(OR(IF(Register!U49="",Register!T49,Register!U49)="",'Eight questions'!F49="",'Eight questions'!J49="",'Eight questions'!L49="",'Eight questions'!M49="",'Eight questions'!O49=""),"",IF(AND(IF(Register!U49="",Register!T49,Register!U49)&lt;&gt;"Agent",VALUE(LEFT('Eight questions'!F49,1))&lt;=2,'Eight questions'!O49="Read only",OR('Eight questions'!J49="Public",'Eight questions'!J49="Internal"),OR('Eight questions'!L49="Nothing",'Eight questions'!L49="Static documents"),'Eight questions'!M49="Yes, in production"),"Quick win","No"))</f>
      </c>
      <c r="D49" s="20">
        <f>IF(C49&lt;&gt;"No","",IF(IF(Register!U49="",Register!T49,Register!U49)="Agent","It is an agent",IF(VALUE(LEFT('Eight questions'!F49,1))&gt;2,"Reach is tier 3 or above",IF('Eight questions'!O49&lt;&gt;"Read only","It is not read only - "&amp;'Eight questions'!O49,IF(OR('Eight questions'!J49="Confidential",'Eight questions'!J49="Regulated"),"Data class is "&amp;'Eight questions'!J49,IF(OR('Eight questions'!L49="Live system state",'Eight questions'!L49="Take an action",'Eight questions'!L49="Analytical data"),"The source is not static - "&amp;'Eight questions'!L49,IF('Eight questions'!M49&lt;&gt;"Yes, in production","The connection does not exist in production","")))))))</f>
      </c>
      <c r="E49" s="20">
        <f>IF('Assurance and gate'!K49="","",'Assurance and gate'!K49)</f>
      </c>
      <c r="F49" s="20">
        <f>IF('Eight questions'!M49="","",IF('Eight questions'!M49="No","Yes - programme work, not a quick win","No"))</f>
      </c>
      <c r="G49" s="20">
        <f>IF(IF('Technology direction'!D49="",'Technology direction'!C49,'Technology direction'!D49)="","",IF('Technology direction'!D49="",'Technology direction'!C49,'Technology direction'!D49)&amp;IF('Technology direction'!H49=""," "," - "&amp;'Technology direction'!H49)&amp;IF('Eight questions'!J49="Regulated"," - constrained by regulated data: a stated data location and private networking",IF('Eight questions'!J49="Confidential"," - constrained by confidential data: an explicit DLP policy and a named retention period","")))</f>
      </c>
      <c r="H49" s="20">
        <f>IF(IF('Technology direction'!D49="",'Technology direction'!C49,'Technology direction'!D49)="","",IF(IF('Technology direction'!D49="",'Technology direction'!C49,'Technology direction'!D49)="1 Not AI","Automation or data platform team",IF(IF('Technology direction'!D49="",'Technology direction'!C49,'Technology direction'!D49)="2 Ready-made","Workload team plus a Microsoft 365 administrator",IF(IF('Technology direction'!D49="",'Technology direction'!C49,'Technology direction'!D49)="3 Low-code","Workload team, a Copilot Studio maker, and the Platform team for connectors and DLP","Platform team, pro-code engineers, AI security and evaluation")))&amp;IF('Assurance and gate'!J49&gt;=3," - plus AI Centre of Excellence review",""))</f>
      </c>
      <c r="I49" s="20">
        <f>IF(IF('Technology direction'!D49="",'Technology direction'!C49,'Technology direction'!D49)="","",IF(IF('Technology direction'!D49="",'Technology direction'!C49,'Technology direction'!D49)="1 Not AI","Configuration: days to weeks",IF(IF('Technology direction'!D49="",'Technology direction'!C49,'Technology direction'!D49)="2 Ready-made","Configure and adopt: one to three weeks",IF(IF('Technology direction'!D49="",'Technology direction'!C49,'Technology direction'!D49)="3 Low-code","Low-code build: three to eight weeks",IF(IF('Technology direction'!D49="",'Technology direction'!C49,'Technology direction'!D49)="4 Pro-code","Pro-code build: two to six months","Platform build: six months or more"))))&amp;IF('Eight questions'!M49="No"," - integration-led, and the integration conversation comes first",""))</f>
      </c>
      <c r="J49" s="20">
        <f>IF('Assurance and gate'!J49="","",IF('Assurance and gate'!J49=1,"Standard guardrails only",IF('Assurance and gate'!J49=2,"Named owner spot-checks, plus platform monitoring",IF('Assurance and gate'!J49=3,"Measured pilot, scheduled re-evaluation and a decision gate","A staffed human control that recurs every time the process runs, monitoring, scheduled evaluation and a route to a person")))&amp;" - plus licences, credits and the monthly consumption review")</f>
      </c>
      <c r="K49" s="20">
        <f>IF(OR('Eight questions'!L49="",'Eight questions'!M49=""),"",IF('Eight questions'!M49="No","Months - integration-led",IF(OR('Eight questions'!L49="Live system state",'Eight questions'!L49="Take an action"),"Months",IF('Eight questions'!L49="Analytical data","Weeks to months",IF('Assurance and gate'!J49=4,"Weeks, plus a full assurance cycle","Weeks")))))</f>
      </c>
      <c r="L49" s="20">
        <f>IF(IF('Technology direction'!D49="",'Technology direction'!C49,'Technology direction'!D49)="","",IF(IF('Technology direction'!D49="",'Technology direction'!C49,'Technology direction'!D49)="1 Not AI","Automation or Fabric guidance",IF(IF('Technology direction'!D49="",'Technology direction'!C49,'Technology direction'!D49)="2 Ready-made","Ready-made agent enablement and an adoption workshop",IF(IF('Technology direction'!D49="",'Technology direction'!C49,'Technology direction'!D49)="3 Low-code","Copilot Studio enablement, plus a partner for connectors","An architecture design session, plus a partner for the build")))&amp;IF('Assurance and gate'!J49=4," - plus a responsible AI review",""))</f>
      </c>
      <c r="M49" s="20">
        <f>IF(B49="","",IF('Outcome contract'!C49="","The result, stated as an outcome with a number. ","")&amp;IF('Outcome contract'!E49="","Baseline today. ","")&amp;IF('Outcome contract'!F49="","Target. ","")&amp;IF('Outcome contract'!G49="","Owner for the build. ","")&amp;IF('Outcome contract'!H49="","Owner after go-live. ","")&amp;IF('Outcome contract'!I49="","The boundary: what it will refuse to do. ","")&amp;IF(COUNTBLANK('Outcome contract'!M49)&gt;0,"V1 how many people do this work today. ","")&amp;IF(COUNTBLANK('Outcome contract'!N49)&gt;0,"V2 how often it happens. ","")&amp;IF(COUNTBLANK('Outcome contract'!O49)&gt;0,"V3 how long it takes each time. ","")&amp;IF(COUNTBLANK('Outcome contract'!P49)&gt;0,"V4 how often it goes wrong and what that costs. ","")&amp;IF('Outcome contract'!S49="","V6 what happens to the time saved. ","")&amp;IF('Eight questions'!J49="","Data classification. ","")&amp;IF('Eight questions'!M49="","Whether the connection already exists. ","")&amp;IF('Eight questions'!O49="","What a wrong answer costs. ","")&amp;IF(AND('Eight questions'!J49="Regulated",'Eight questions'!I49=""),"Consent and residency position. ",""))</f>
      </c>
      <c r="N49" s="21">
        <f>IF(B49="","",(15-(IF('Outcome contract'!C49="",1,0)+IF('Outcome contract'!E49="",1,0)+IF('Outcome contract'!F49="",1,0)+IF('Outcome contract'!G49="",1,0)+IF('Outcome contract'!H49="",1,0)+IF('Outcome contract'!I49="",1,0)+COUNTBLANK('Outcome contract'!M49)+COUNTBLANK('Outcome contract'!N49)+COUNTBLANK('Outcome contract'!O49)+COUNTBLANK('Outcome contract'!P49)+IF('Outcome contract'!S49="",1,0)+IF('Eight questions'!J49="",1,0)+IF('Eight questions'!M49="",1,0)+IF('Eight questions'!O49="",1,0)+IF('Eight questions'!C49="",1,0)))/15)</f>
      </c>
    </row>
    <row r="50" ht="30" customHeight="1" spans="1:14" x14ac:dyDescent="0.25">
      <c r="A50" s="20">
        <f>IF(Register!A50="","",Register!A50)</f>
      </c>
      <c r="B50" s="20">
        <f>IF(Register!C50="","",Register!C50)</f>
      </c>
      <c r="C50" s="20">
        <f>IF(OR(IF(Register!U50="",Register!T50,Register!U50)="",'Eight questions'!F50="",'Eight questions'!J50="",'Eight questions'!L50="",'Eight questions'!M50="",'Eight questions'!O50=""),"",IF(AND(IF(Register!U50="",Register!T50,Register!U50)&lt;&gt;"Agent",VALUE(LEFT('Eight questions'!F50,1))&lt;=2,'Eight questions'!O50="Read only",OR('Eight questions'!J50="Public",'Eight questions'!J50="Internal"),OR('Eight questions'!L50="Nothing",'Eight questions'!L50="Static documents"),'Eight questions'!M50="Yes, in production"),"Quick win","No"))</f>
      </c>
      <c r="D50" s="20">
        <f>IF(C50&lt;&gt;"No","",IF(IF(Register!U50="",Register!T50,Register!U50)="Agent","It is an agent",IF(VALUE(LEFT('Eight questions'!F50,1))&gt;2,"Reach is tier 3 or above",IF('Eight questions'!O50&lt;&gt;"Read only","It is not read only - "&amp;'Eight questions'!O50,IF(OR('Eight questions'!J50="Confidential",'Eight questions'!J50="Regulated"),"Data class is "&amp;'Eight questions'!J50,IF(OR('Eight questions'!L50="Live system state",'Eight questions'!L50="Take an action",'Eight questions'!L50="Analytical data"),"The source is not static - "&amp;'Eight questions'!L50,IF('Eight questions'!M50&lt;&gt;"Yes, in production","The connection does not exist in production","")))))))</f>
      </c>
      <c r="E50" s="20">
        <f>IF('Assurance and gate'!K50="","",'Assurance and gate'!K50)</f>
      </c>
      <c r="F50" s="20">
        <f>IF('Eight questions'!M50="","",IF('Eight questions'!M50="No","Yes - programme work, not a quick win","No"))</f>
      </c>
      <c r="G50" s="20">
        <f>IF(IF('Technology direction'!D50="",'Technology direction'!C50,'Technology direction'!D50)="","",IF('Technology direction'!D50="",'Technology direction'!C50,'Technology direction'!D50)&amp;IF('Technology direction'!H50=""," "," - "&amp;'Technology direction'!H50)&amp;IF('Eight questions'!J50="Regulated"," - constrained by regulated data: a stated data location and private networking",IF('Eight questions'!J50="Confidential"," - constrained by confidential data: an explicit DLP policy and a named retention period","")))</f>
      </c>
      <c r="H50" s="20">
        <f>IF(IF('Technology direction'!D50="",'Technology direction'!C50,'Technology direction'!D50)="","",IF(IF('Technology direction'!D50="",'Technology direction'!C50,'Technology direction'!D50)="1 Not AI","Automation or data platform team",IF(IF('Technology direction'!D50="",'Technology direction'!C50,'Technology direction'!D50)="2 Ready-made","Workload team plus a Microsoft 365 administrator",IF(IF('Technology direction'!D50="",'Technology direction'!C50,'Technology direction'!D50)="3 Low-code","Workload team, a Copilot Studio maker, and the Platform team for connectors and DLP","Platform team, pro-code engineers, AI security and evaluation")))&amp;IF('Assurance and gate'!J50&gt;=3," - plus AI Centre of Excellence review",""))</f>
      </c>
      <c r="I50" s="20">
        <f>IF(IF('Technology direction'!D50="",'Technology direction'!C50,'Technology direction'!D50)="","",IF(IF('Technology direction'!D50="",'Technology direction'!C50,'Technology direction'!D50)="1 Not AI","Configuration: days to weeks",IF(IF('Technology direction'!D50="",'Technology direction'!C50,'Technology direction'!D50)="2 Ready-made","Configure and adopt: one to three weeks",IF(IF('Technology direction'!D50="",'Technology direction'!C50,'Technology direction'!D50)="3 Low-code","Low-code build: three to eight weeks",IF(IF('Technology direction'!D50="",'Technology direction'!C50,'Technology direction'!D50)="4 Pro-code","Pro-code build: two to six months","Platform build: six months or more"))))&amp;IF('Eight questions'!M50="No"," - integration-led, and the integration conversation comes first",""))</f>
      </c>
      <c r="J50" s="20">
        <f>IF('Assurance and gate'!J50="","",IF('Assurance and gate'!J50=1,"Standard guardrails only",IF('Assurance and gate'!J50=2,"Named owner spot-checks, plus platform monitoring",IF('Assurance and gate'!J50=3,"Measured pilot, scheduled re-evaluation and a decision gate","A staffed human control that recurs every time the process runs, monitoring, scheduled evaluation and a route to a person")))&amp;" - plus licences, credits and the monthly consumption review")</f>
      </c>
      <c r="K50" s="20">
        <f>IF(OR('Eight questions'!L50="",'Eight questions'!M50=""),"",IF('Eight questions'!M50="No","Months - integration-led",IF(OR('Eight questions'!L50="Live system state",'Eight questions'!L50="Take an action"),"Months",IF('Eight questions'!L50="Analytical data","Weeks to months",IF('Assurance and gate'!J50=4,"Weeks, plus a full assurance cycle","Weeks")))))</f>
      </c>
      <c r="L50" s="20">
        <f>IF(IF('Technology direction'!D50="",'Technology direction'!C50,'Technology direction'!D50)="","",IF(IF('Technology direction'!D50="",'Technology direction'!C50,'Technology direction'!D50)="1 Not AI","Automation or Fabric guidance",IF(IF('Technology direction'!D50="",'Technology direction'!C50,'Technology direction'!D50)="2 Ready-made","Ready-made agent enablement and an adoption workshop",IF(IF('Technology direction'!D50="",'Technology direction'!C50,'Technology direction'!D50)="3 Low-code","Copilot Studio enablement, plus a partner for connectors","An architecture design session, plus a partner for the build")))&amp;IF('Assurance and gate'!J50=4," - plus a responsible AI review",""))</f>
      </c>
      <c r="M50" s="20">
        <f>IF(B50="","",IF('Outcome contract'!C50="","The result, stated as an outcome with a number. ","")&amp;IF('Outcome contract'!E50="","Baseline today. ","")&amp;IF('Outcome contract'!F50="","Target. ","")&amp;IF('Outcome contract'!G50="","Owner for the build. ","")&amp;IF('Outcome contract'!H50="","Owner after go-live. ","")&amp;IF('Outcome contract'!I50="","The boundary: what it will refuse to do. ","")&amp;IF(COUNTBLANK('Outcome contract'!M50)&gt;0,"V1 how many people do this work today. ","")&amp;IF(COUNTBLANK('Outcome contract'!N50)&gt;0,"V2 how often it happens. ","")&amp;IF(COUNTBLANK('Outcome contract'!O50)&gt;0,"V3 how long it takes each time. ","")&amp;IF(COUNTBLANK('Outcome contract'!P50)&gt;0,"V4 how often it goes wrong and what that costs. ","")&amp;IF('Outcome contract'!S50="","V6 what happens to the time saved. ","")&amp;IF('Eight questions'!J50="","Data classification. ","")&amp;IF('Eight questions'!M50="","Whether the connection already exists. ","")&amp;IF('Eight questions'!O50="","What a wrong answer costs. ","")&amp;IF(AND('Eight questions'!J50="Regulated",'Eight questions'!I50=""),"Consent and residency position. ",""))</f>
      </c>
      <c r="N50" s="21">
        <f>IF(B50="","",(15-(IF('Outcome contract'!C50="",1,0)+IF('Outcome contract'!E50="",1,0)+IF('Outcome contract'!F50="",1,0)+IF('Outcome contract'!G50="",1,0)+IF('Outcome contract'!H50="",1,0)+IF('Outcome contract'!I50="",1,0)+COUNTBLANK('Outcome contract'!M50)+COUNTBLANK('Outcome contract'!N50)+COUNTBLANK('Outcome contract'!O50)+COUNTBLANK('Outcome contract'!P50)+IF('Outcome contract'!S50="",1,0)+IF('Eight questions'!J50="",1,0)+IF('Eight questions'!M50="",1,0)+IF('Eight questions'!O50="",1,0)+IF('Eight questions'!C50="",1,0)))/15)</f>
      </c>
    </row>
    <row r="51" ht="30" customHeight="1" spans="1:14" x14ac:dyDescent="0.25">
      <c r="A51" s="20">
        <f>IF(Register!A51="","",Register!A51)</f>
      </c>
      <c r="B51" s="20">
        <f>IF(Register!C51="","",Register!C51)</f>
      </c>
      <c r="C51" s="20">
        <f>IF(OR(IF(Register!U51="",Register!T51,Register!U51)="",'Eight questions'!F51="",'Eight questions'!J51="",'Eight questions'!L51="",'Eight questions'!M51="",'Eight questions'!O51=""),"",IF(AND(IF(Register!U51="",Register!T51,Register!U51)&lt;&gt;"Agent",VALUE(LEFT('Eight questions'!F51,1))&lt;=2,'Eight questions'!O51="Read only",OR('Eight questions'!J51="Public",'Eight questions'!J51="Internal"),OR('Eight questions'!L51="Nothing",'Eight questions'!L51="Static documents"),'Eight questions'!M51="Yes, in production"),"Quick win","No"))</f>
      </c>
      <c r="D51" s="20">
        <f>IF(C51&lt;&gt;"No","",IF(IF(Register!U51="",Register!T51,Register!U51)="Agent","It is an agent",IF(VALUE(LEFT('Eight questions'!F51,1))&gt;2,"Reach is tier 3 or above",IF('Eight questions'!O51&lt;&gt;"Read only","It is not read only - "&amp;'Eight questions'!O51,IF(OR('Eight questions'!J51="Confidential",'Eight questions'!J51="Regulated"),"Data class is "&amp;'Eight questions'!J51,IF(OR('Eight questions'!L51="Live system state",'Eight questions'!L51="Take an action",'Eight questions'!L51="Analytical data"),"The source is not static - "&amp;'Eight questions'!L51,IF('Eight questions'!M51&lt;&gt;"Yes, in production","The connection does not exist in production","")))))))</f>
      </c>
      <c r="E51" s="20">
        <f>IF('Assurance and gate'!K51="","",'Assurance and gate'!K51)</f>
      </c>
      <c r="F51" s="20">
        <f>IF('Eight questions'!M51="","",IF('Eight questions'!M51="No","Yes - programme work, not a quick win","No"))</f>
      </c>
      <c r="G51" s="20">
        <f>IF(IF('Technology direction'!D51="",'Technology direction'!C51,'Technology direction'!D51)="","",IF('Technology direction'!D51="",'Technology direction'!C51,'Technology direction'!D51)&amp;IF('Technology direction'!H51=""," "," - "&amp;'Technology direction'!H51)&amp;IF('Eight questions'!J51="Regulated"," - constrained by regulated data: a stated data location and private networking",IF('Eight questions'!J51="Confidential"," - constrained by confidential data: an explicit DLP policy and a named retention period","")))</f>
      </c>
      <c r="H51" s="20">
        <f>IF(IF('Technology direction'!D51="",'Technology direction'!C51,'Technology direction'!D51)="","",IF(IF('Technology direction'!D51="",'Technology direction'!C51,'Technology direction'!D51)="1 Not AI","Automation or data platform team",IF(IF('Technology direction'!D51="",'Technology direction'!C51,'Technology direction'!D51)="2 Ready-made","Workload team plus a Microsoft 365 administrator",IF(IF('Technology direction'!D51="",'Technology direction'!C51,'Technology direction'!D51)="3 Low-code","Workload team, a Copilot Studio maker, and the Platform team for connectors and DLP","Platform team, pro-code engineers, AI security and evaluation")))&amp;IF('Assurance and gate'!J51&gt;=3," - plus AI Centre of Excellence review",""))</f>
      </c>
      <c r="I51" s="20">
        <f>IF(IF('Technology direction'!D51="",'Technology direction'!C51,'Technology direction'!D51)="","",IF(IF('Technology direction'!D51="",'Technology direction'!C51,'Technology direction'!D51)="1 Not AI","Configuration: days to weeks",IF(IF('Technology direction'!D51="",'Technology direction'!C51,'Technology direction'!D51)="2 Ready-made","Configure and adopt: one to three weeks",IF(IF('Technology direction'!D51="",'Technology direction'!C51,'Technology direction'!D51)="3 Low-code","Low-code build: three to eight weeks",IF(IF('Technology direction'!D51="",'Technology direction'!C51,'Technology direction'!D51)="4 Pro-code","Pro-code build: two to six months","Platform build: six months or more"))))&amp;IF('Eight questions'!M51="No"," - integration-led, and the integration conversation comes first",""))</f>
      </c>
      <c r="J51" s="20">
        <f>IF('Assurance and gate'!J51="","",IF('Assurance and gate'!J51=1,"Standard guardrails only",IF('Assurance and gate'!J51=2,"Named owner spot-checks, plus platform monitoring",IF('Assurance and gate'!J51=3,"Measured pilot, scheduled re-evaluation and a decision gate","A staffed human control that recurs every time the process runs, monitoring, scheduled evaluation and a route to a person")))&amp;" - plus licences, credits and the monthly consumption review")</f>
      </c>
      <c r="K51" s="20">
        <f>IF(OR('Eight questions'!L51="",'Eight questions'!M51=""),"",IF('Eight questions'!M51="No","Months - integration-led",IF(OR('Eight questions'!L51="Live system state",'Eight questions'!L51="Take an action"),"Months",IF('Eight questions'!L51="Analytical data","Weeks to months",IF('Assurance and gate'!J51=4,"Weeks, plus a full assurance cycle","Weeks")))))</f>
      </c>
      <c r="L51" s="20">
        <f>IF(IF('Technology direction'!D51="",'Technology direction'!C51,'Technology direction'!D51)="","",IF(IF('Technology direction'!D51="",'Technology direction'!C51,'Technology direction'!D51)="1 Not AI","Automation or Fabric guidance",IF(IF('Technology direction'!D51="",'Technology direction'!C51,'Technology direction'!D51)="2 Ready-made","Ready-made agent enablement and an adoption workshop",IF(IF('Technology direction'!D51="",'Technology direction'!C51,'Technology direction'!D51)="3 Low-code","Copilot Studio enablement, plus a partner for connectors","An architecture design session, plus a partner for the build")))&amp;IF('Assurance and gate'!J51=4," - plus a responsible AI review",""))</f>
      </c>
      <c r="M51" s="20">
        <f>IF(B51="","",IF('Outcome contract'!C51="","The result, stated as an outcome with a number. ","")&amp;IF('Outcome contract'!E51="","Baseline today. ","")&amp;IF('Outcome contract'!F51="","Target. ","")&amp;IF('Outcome contract'!G51="","Owner for the build. ","")&amp;IF('Outcome contract'!H51="","Owner after go-live. ","")&amp;IF('Outcome contract'!I51="","The boundary: what it will refuse to do. ","")&amp;IF(COUNTBLANK('Outcome contract'!M51)&gt;0,"V1 how many people do this work today. ","")&amp;IF(COUNTBLANK('Outcome contract'!N51)&gt;0,"V2 how often it happens. ","")&amp;IF(COUNTBLANK('Outcome contract'!O51)&gt;0,"V3 how long it takes each time. ","")&amp;IF(COUNTBLANK('Outcome contract'!P51)&gt;0,"V4 how often it goes wrong and what that costs. ","")&amp;IF('Outcome contract'!S51="","V6 what happens to the time saved. ","")&amp;IF('Eight questions'!J51="","Data classification. ","")&amp;IF('Eight questions'!M51="","Whether the connection already exists. ","")&amp;IF('Eight questions'!O51="","What a wrong answer costs. ","")&amp;IF(AND('Eight questions'!J51="Regulated",'Eight questions'!I51=""),"Consent and residency position. ",""))</f>
      </c>
      <c r="N51" s="21">
        <f>IF(B51="","",(15-(IF('Outcome contract'!C51="",1,0)+IF('Outcome contract'!E51="",1,0)+IF('Outcome contract'!F51="",1,0)+IF('Outcome contract'!G51="",1,0)+IF('Outcome contract'!H51="",1,0)+IF('Outcome contract'!I51="",1,0)+COUNTBLANK('Outcome contract'!M51)+COUNTBLANK('Outcome contract'!N51)+COUNTBLANK('Outcome contract'!O51)+COUNTBLANK('Outcome contract'!P51)+IF('Outcome contract'!S51="",1,0)+IF('Eight questions'!J51="",1,0)+IF('Eight questions'!M51="",1,0)+IF('Eight questions'!O51="",1,0)+IF('Eight questions'!C51="",1,0)))/15)</f>
      </c>
    </row>
    <row r="52" ht="30" customHeight="1" spans="1:14" x14ac:dyDescent="0.25">
      <c r="A52" s="20">
        <f>IF(Register!A52="","",Register!A52)</f>
      </c>
      <c r="B52" s="20">
        <f>IF(Register!C52="","",Register!C52)</f>
      </c>
      <c r="C52" s="20">
        <f>IF(OR(IF(Register!U52="",Register!T52,Register!U52)="",'Eight questions'!F52="",'Eight questions'!J52="",'Eight questions'!L52="",'Eight questions'!M52="",'Eight questions'!O52=""),"",IF(AND(IF(Register!U52="",Register!T52,Register!U52)&lt;&gt;"Agent",VALUE(LEFT('Eight questions'!F52,1))&lt;=2,'Eight questions'!O52="Read only",OR('Eight questions'!J52="Public",'Eight questions'!J52="Internal"),OR('Eight questions'!L52="Nothing",'Eight questions'!L52="Static documents"),'Eight questions'!M52="Yes, in production"),"Quick win","No"))</f>
      </c>
      <c r="D52" s="20">
        <f>IF(C52&lt;&gt;"No","",IF(IF(Register!U52="",Register!T52,Register!U52)="Agent","It is an agent",IF(VALUE(LEFT('Eight questions'!F52,1))&gt;2,"Reach is tier 3 or above",IF('Eight questions'!O52&lt;&gt;"Read only","It is not read only - "&amp;'Eight questions'!O52,IF(OR('Eight questions'!J52="Confidential",'Eight questions'!J52="Regulated"),"Data class is "&amp;'Eight questions'!J52,IF(OR('Eight questions'!L52="Live system state",'Eight questions'!L52="Take an action",'Eight questions'!L52="Analytical data"),"The source is not static - "&amp;'Eight questions'!L52,IF('Eight questions'!M52&lt;&gt;"Yes, in production","The connection does not exist in production","")))))))</f>
      </c>
      <c r="E52" s="20">
        <f>IF('Assurance and gate'!K52="","",'Assurance and gate'!K52)</f>
      </c>
      <c r="F52" s="20">
        <f>IF('Eight questions'!M52="","",IF('Eight questions'!M52="No","Yes - programme work, not a quick win","No"))</f>
      </c>
      <c r="G52" s="20">
        <f>IF(IF('Technology direction'!D52="",'Technology direction'!C52,'Technology direction'!D52)="","",IF('Technology direction'!D52="",'Technology direction'!C52,'Technology direction'!D52)&amp;IF('Technology direction'!H52=""," "," - "&amp;'Technology direction'!H52)&amp;IF('Eight questions'!J52="Regulated"," - constrained by regulated data: a stated data location and private networking",IF('Eight questions'!J52="Confidential"," - constrained by confidential data: an explicit DLP policy and a named retention period","")))</f>
      </c>
      <c r="H52" s="20">
        <f>IF(IF('Technology direction'!D52="",'Technology direction'!C52,'Technology direction'!D52)="","",IF(IF('Technology direction'!D52="",'Technology direction'!C52,'Technology direction'!D52)="1 Not AI","Automation or data platform team",IF(IF('Technology direction'!D52="",'Technology direction'!C52,'Technology direction'!D52)="2 Ready-made","Workload team plus a Microsoft 365 administrator",IF(IF('Technology direction'!D52="",'Technology direction'!C52,'Technology direction'!D52)="3 Low-code","Workload team, a Copilot Studio maker, and the Platform team for connectors and DLP","Platform team, pro-code engineers, AI security and evaluation")))&amp;IF('Assurance and gate'!J52&gt;=3," - plus AI Centre of Excellence review",""))</f>
      </c>
      <c r="I52" s="20">
        <f>IF(IF('Technology direction'!D52="",'Technology direction'!C52,'Technology direction'!D52)="","",IF(IF('Technology direction'!D52="",'Technology direction'!C52,'Technology direction'!D52)="1 Not AI","Configuration: days to weeks",IF(IF('Technology direction'!D52="",'Technology direction'!C52,'Technology direction'!D52)="2 Ready-made","Configure and adopt: one to three weeks",IF(IF('Technology direction'!D52="",'Technology direction'!C52,'Technology direction'!D52)="3 Low-code","Low-code build: three to eight weeks",IF(IF('Technology direction'!D52="",'Technology direction'!C52,'Technology direction'!D52)="4 Pro-code","Pro-code build: two to six months","Platform build: six months or more"))))&amp;IF('Eight questions'!M52="No"," - integration-led, and the integration conversation comes first",""))</f>
      </c>
      <c r="J52" s="20">
        <f>IF('Assurance and gate'!J52="","",IF('Assurance and gate'!J52=1,"Standard guardrails only",IF('Assurance and gate'!J52=2,"Named owner spot-checks, plus platform monitoring",IF('Assurance and gate'!J52=3,"Measured pilot, scheduled re-evaluation and a decision gate","A staffed human control that recurs every time the process runs, monitoring, scheduled evaluation and a route to a person")))&amp;" - plus licences, credits and the monthly consumption review")</f>
      </c>
      <c r="K52" s="20">
        <f>IF(OR('Eight questions'!L52="",'Eight questions'!M52=""),"",IF('Eight questions'!M52="No","Months - integration-led",IF(OR('Eight questions'!L52="Live system state",'Eight questions'!L52="Take an action"),"Months",IF('Eight questions'!L52="Analytical data","Weeks to months",IF('Assurance and gate'!J52=4,"Weeks, plus a full assurance cycle","Weeks")))))</f>
      </c>
      <c r="L52" s="20">
        <f>IF(IF('Technology direction'!D52="",'Technology direction'!C52,'Technology direction'!D52)="","",IF(IF('Technology direction'!D52="",'Technology direction'!C52,'Technology direction'!D52)="1 Not AI","Automation or Fabric guidance",IF(IF('Technology direction'!D52="",'Technology direction'!C52,'Technology direction'!D52)="2 Ready-made","Ready-made agent enablement and an adoption workshop",IF(IF('Technology direction'!D52="",'Technology direction'!C52,'Technology direction'!D52)="3 Low-code","Copilot Studio enablement, plus a partner for connectors","An architecture design session, plus a partner for the build")))&amp;IF('Assurance and gate'!J52=4," - plus a responsible AI review",""))</f>
      </c>
      <c r="M52" s="20">
        <f>IF(B52="","",IF('Outcome contract'!C52="","The result, stated as an outcome with a number. ","")&amp;IF('Outcome contract'!E52="","Baseline today. ","")&amp;IF('Outcome contract'!F52="","Target. ","")&amp;IF('Outcome contract'!G52="","Owner for the build. ","")&amp;IF('Outcome contract'!H52="","Owner after go-live. ","")&amp;IF('Outcome contract'!I52="","The boundary: what it will refuse to do. ","")&amp;IF(COUNTBLANK('Outcome contract'!M52)&gt;0,"V1 how many people do this work today. ","")&amp;IF(COUNTBLANK('Outcome contract'!N52)&gt;0,"V2 how often it happens. ","")&amp;IF(COUNTBLANK('Outcome contract'!O52)&gt;0,"V3 how long it takes each time. ","")&amp;IF(COUNTBLANK('Outcome contract'!P52)&gt;0,"V4 how often it goes wrong and what that costs. ","")&amp;IF('Outcome contract'!S52="","V6 what happens to the time saved. ","")&amp;IF('Eight questions'!J52="","Data classification. ","")&amp;IF('Eight questions'!M52="","Whether the connection already exists. ","")&amp;IF('Eight questions'!O52="","What a wrong answer costs. ","")&amp;IF(AND('Eight questions'!J52="Regulated",'Eight questions'!I52=""),"Consent and residency position. ",""))</f>
      </c>
      <c r="N52" s="21">
        <f>IF(B52="","",(15-(IF('Outcome contract'!C52="",1,0)+IF('Outcome contract'!E52="",1,0)+IF('Outcome contract'!F52="",1,0)+IF('Outcome contract'!G52="",1,0)+IF('Outcome contract'!H52="",1,0)+IF('Outcome contract'!I52="",1,0)+COUNTBLANK('Outcome contract'!M52)+COUNTBLANK('Outcome contract'!N52)+COUNTBLANK('Outcome contract'!O52)+COUNTBLANK('Outcome contract'!P52)+IF('Outcome contract'!S52="",1,0)+IF('Eight questions'!J52="",1,0)+IF('Eight questions'!M52="",1,0)+IF('Eight questions'!O52="",1,0)+IF('Eight questions'!C52="",1,0)))/15)</f>
      </c>
    </row>
  </sheetData>
  <autoFilter ref="A2:N52"/>
  <mergeCells count="5">
    <mergeCell ref="A1:B1"/>
    <mergeCell ref="C1:F1"/>
    <mergeCell ref="G1:H1"/>
    <mergeCell ref="I1:K1"/>
    <mergeCell ref="L1:N1"/>
  </mergeCells>
  <conditionalFormatting sqref="C3:C52">
    <cfRule type="containsText" dxfId="11" priority="1">
      <formula>NOT(ISERROR(SEARCH("Quick win",C3)))</formula>
    </cfRule>
  </conditionalFormatting>
  <conditionalFormatting sqref="F3:F52">
    <cfRule type="containsText" dxfId="12" priority="1">
      <formula>NOT(ISERROR(SEARCH("Yes - programme work",F3)))</formula>
    </cfRule>
  </conditionalFormatting>
  <conditionalFormatting sqref="K3:K52">
    <cfRule type="containsText" dxfId="13" priority="1">
      <formula>NOT(ISERROR(SEARCH("Months",K3)))</formula>
    </cfRule>
    <cfRule type="containsText" dxfId="14" priority="2">
      <formula>NOT(ISERROR(SEARCH("Weeks",K3)))</formula>
    </cfRule>
  </conditionalFormatting>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C5B7A"/>
  </sheetPr>
  <dimension ref="A1:Q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11" width="13" customWidth="1"/>
    <col min="12" max="14" width="12" customWidth="1"/>
    <col min="15" max="15" width="11" customWidth="1"/>
    <col min="16" max="16" width="8" customWidth="1"/>
    <col min="17" max="17" width="40" customWidth="1"/>
  </cols>
  <sheetData>
    <row r="1" ht="20" customHeight="1" spans="1:17" x14ac:dyDescent="0.25">
      <c r="A1" s="11" t="s">
        <v>331</v>
      </c>
      <c r="B1" s="11"/>
      <c r="C1" s="11" t="s">
        <v>512</v>
      </c>
      <c r="D1" s="11"/>
      <c r="E1" s="11"/>
      <c r="F1" s="13" t="s">
        <v>513</v>
      </c>
      <c r="G1" s="13"/>
      <c r="H1" s="13"/>
      <c r="I1" s="22" t="s">
        <v>514</v>
      </c>
      <c r="J1" s="22"/>
      <c r="K1" s="22"/>
      <c r="L1" s="14" t="s">
        <v>515</v>
      </c>
      <c r="M1" s="14"/>
      <c r="N1" s="14"/>
      <c r="O1" s="14"/>
      <c r="P1" s="14"/>
      <c r="Q1" s="14"/>
    </row>
    <row r="2" ht="48" customHeight="1" spans="1:17" x14ac:dyDescent="0.25">
      <c r="A2" s="15" t="s">
        <v>296</v>
      </c>
      <c r="B2" s="15" t="s">
        <v>335</v>
      </c>
      <c r="C2" s="15" t="s">
        <v>516</v>
      </c>
      <c r="D2" s="15" t="s">
        <v>517</v>
      </c>
      <c r="E2" s="15" t="s">
        <v>518</v>
      </c>
      <c r="F2" s="15" t="s">
        <v>519</v>
      </c>
      <c r="G2" s="15" t="s">
        <v>520</v>
      </c>
      <c r="H2" s="15" t="s">
        <v>521</v>
      </c>
      <c r="I2" s="15" t="s">
        <v>522</v>
      </c>
      <c r="J2" s="15" t="s">
        <v>523</v>
      </c>
      <c r="K2" s="15" t="s">
        <v>524</v>
      </c>
      <c r="L2" s="15" t="s">
        <v>525</v>
      </c>
      <c r="M2" s="15" t="s">
        <v>526</v>
      </c>
      <c r="N2" s="15" t="s">
        <v>527</v>
      </c>
      <c r="O2" s="15" t="s">
        <v>528</v>
      </c>
      <c r="P2" s="15" t="s">
        <v>529</v>
      </c>
      <c r="Q2" s="15" t="s">
        <v>356</v>
      </c>
    </row>
    <row r="3" ht="30" customHeight="1" spans="1:17" x14ac:dyDescent="0.25">
      <c r="A3" s="20">
        <f>IF(Register!A3="","",Register!A3)</f>
      </c>
      <c r="B3" s="20">
        <f>IF(Register!C3="","",Register!C3)</f>
      </c>
      <c r="C3" s="19">
        <v>4</v>
      </c>
      <c r="D3" s="19">
        <v>4</v>
      </c>
      <c r="E3" s="19">
        <v>5</v>
      </c>
      <c r="F3" s="19">
        <v>5</v>
      </c>
      <c r="G3" s="19">
        <v>5</v>
      </c>
      <c r="H3" s="19">
        <v>5</v>
      </c>
      <c r="I3" s="19">
        <v>4</v>
      </c>
      <c r="J3" s="19">
        <v>4</v>
      </c>
      <c r="K3" s="19">
        <v>5</v>
      </c>
      <c r="L3" s="31">
        <f>IF(COUNT(C3:E3)&lt;3,"",SUM(C3:E3))</f>
      </c>
      <c r="M3" s="31">
        <f>IF(COUNT(F3:H3)&lt;3,"",SUM(F3:H3))</f>
      </c>
      <c r="N3" s="31">
        <f>IF(COUNT(I3:K3)&lt;3,"",SUM(I3:K3))</f>
      </c>
      <c r="O3" s="31">
        <f>IF(COUNT(L3:N3)&lt;3,"",SUM(L3:N3))</f>
      </c>
      <c r="P3" s="31">
        <f>IF(O3="","",RANK(O3,$O$3:$O$52))</f>
      </c>
      <c r="Q3" s="16"/>
    </row>
    <row r="4" ht="30" customHeight="1" spans="1:17" x14ac:dyDescent="0.25">
      <c r="A4" s="20">
        <f>IF(Register!A4="","",Register!A4)</f>
      </c>
      <c r="B4" s="20">
        <f>IF(Register!C4="","",Register!C4)</f>
      </c>
      <c r="C4" s="19">
        <v>5</v>
      </c>
      <c r="D4" s="19">
        <v>5</v>
      </c>
      <c r="E4" s="19">
        <v>2</v>
      </c>
      <c r="F4" s="19">
        <v>2</v>
      </c>
      <c r="G4" s="19">
        <v>2</v>
      </c>
      <c r="H4" s="19">
        <v>1</v>
      </c>
      <c r="I4" s="19">
        <v>4</v>
      </c>
      <c r="J4" s="19">
        <v>5</v>
      </c>
      <c r="K4" s="19">
        <v>3</v>
      </c>
      <c r="L4" s="31">
        <f>IF(COUNT(C4:E4)&lt;3,"",SUM(C4:E4))</f>
      </c>
      <c r="M4" s="31">
        <f>IF(COUNT(F4:H4)&lt;3,"",SUM(F4:H4))</f>
      </c>
      <c r="N4" s="31">
        <f>IF(COUNT(I4:K4)&lt;3,"",SUM(I4:K4))</f>
      </c>
      <c r="O4" s="31">
        <f>IF(COUNT(L4:N4)&lt;3,"",SUM(L4:N4))</f>
      </c>
      <c r="P4" s="31">
        <f>IF(O4="","",RANK(O4,$O$3:$O$52))</f>
      </c>
      <c r="Q4" s="16"/>
    </row>
    <row r="5" ht="30" customHeight="1" spans="1:17" x14ac:dyDescent="0.25">
      <c r="A5" s="20">
        <f>IF(Register!A5="","",Register!A5)</f>
      </c>
      <c r="B5" s="20">
        <f>IF(Register!C5="","",Register!C5)</f>
      </c>
      <c r="C5" s="19"/>
      <c r="D5" s="19"/>
      <c r="E5" s="19"/>
      <c r="F5" s="19"/>
      <c r="G5" s="19"/>
      <c r="H5" s="19"/>
      <c r="I5" s="19"/>
      <c r="J5" s="19"/>
      <c r="K5" s="19"/>
      <c r="L5" s="31">
        <f>IF(COUNT(C5:E5)&lt;3,"",SUM(C5:E5))</f>
      </c>
      <c r="M5" s="31">
        <f>IF(COUNT(F5:H5)&lt;3,"",SUM(F5:H5))</f>
      </c>
      <c r="N5" s="31">
        <f>IF(COUNT(I5:K5)&lt;3,"",SUM(I5:K5))</f>
      </c>
      <c r="O5" s="31">
        <f>IF(COUNT(L5:N5)&lt;3,"",SUM(L5:N5))</f>
      </c>
      <c r="P5" s="31">
        <f>IF(O5="","",RANK(O5,$O$3:$O$52))</f>
      </c>
      <c r="Q5" s="16"/>
    </row>
    <row r="6" ht="30" customHeight="1" spans="1:17" x14ac:dyDescent="0.25">
      <c r="A6" s="20">
        <f>IF(Register!A6="","",Register!A6)</f>
      </c>
      <c r="B6" s="20">
        <f>IF(Register!C6="","",Register!C6)</f>
      </c>
      <c r="C6" s="19"/>
      <c r="D6" s="19"/>
      <c r="E6" s="19"/>
      <c r="F6" s="19"/>
      <c r="G6" s="19"/>
      <c r="H6" s="19"/>
      <c r="I6" s="19"/>
      <c r="J6" s="19"/>
      <c r="K6" s="19"/>
      <c r="L6" s="31">
        <f>IF(COUNT(C6:E6)&lt;3,"",SUM(C6:E6))</f>
      </c>
      <c r="M6" s="31">
        <f>IF(COUNT(F6:H6)&lt;3,"",SUM(F6:H6))</f>
      </c>
      <c r="N6" s="31">
        <f>IF(COUNT(I6:K6)&lt;3,"",SUM(I6:K6))</f>
      </c>
      <c r="O6" s="31">
        <f>IF(COUNT(L6:N6)&lt;3,"",SUM(L6:N6))</f>
      </c>
      <c r="P6" s="31">
        <f>IF(O6="","",RANK(O6,$O$3:$O$52))</f>
      </c>
      <c r="Q6" s="16"/>
    </row>
    <row r="7" ht="30" customHeight="1" spans="1:17" x14ac:dyDescent="0.25">
      <c r="A7" s="20">
        <f>IF(Register!A7="","",Register!A7)</f>
      </c>
      <c r="B7" s="20">
        <f>IF(Register!C7="","",Register!C7)</f>
      </c>
      <c r="C7" s="19"/>
      <c r="D7" s="19"/>
      <c r="E7" s="19"/>
      <c r="F7" s="19"/>
      <c r="G7" s="19"/>
      <c r="H7" s="19"/>
      <c r="I7" s="19"/>
      <c r="J7" s="19"/>
      <c r="K7" s="19"/>
      <c r="L7" s="31">
        <f>IF(COUNT(C7:E7)&lt;3,"",SUM(C7:E7))</f>
      </c>
      <c r="M7" s="31">
        <f>IF(COUNT(F7:H7)&lt;3,"",SUM(F7:H7))</f>
      </c>
      <c r="N7" s="31">
        <f>IF(COUNT(I7:K7)&lt;3,"",SUM(I7:K7))</f>
      </c>
      <c r="O7" s="31">
        <f>IF(COUNT(L7:N7)&lt;3,"",SUM(L7:N7))</f>
      </c>
      <c r="P7" s="31">
        <f>IF(O7="","",RANK(O7,$O$3:$O$52))</f>
      </c>
      <c r="Q7" s="16"/>
    </row>
    <row r="8" ht="30" customHeight="1" spans="1:17" x14ac:dyDescent="0.25">
      <c r="A8" s="20">
        <f>IF(Register!A8="","",Register!A8)</f>
      </c>
      <c r="B8" s="20">
        <f>IF(Register!C8="","",Register!C8)</f>
      </c>
      <c r="C8" s="19"/>
      <c r="D8" s="19"/>
      <c r="E8" s="19"/>
      <c r="F8" s="19"/>
      <c r="G8" s="19"/>
      <c r="H8" s="19"/>
      <c r="I8" s="19"/>
      <c r="J8" s="19"/>
      <c r="K8" s="19"/>
      <c r="L8" s="31">
        <f>IF(COUNT(C8:E8)&lt;3,"",SUM(C8:E8))</f>
      </c>
      <c r="M8" s="31">
        <f>IF(COUNT(F8:H8)&lt;3,"",SUM(F8:H8))</f>
      </c>
      <c r="N8" s="31">
        <f>IF(COUNT(I8:K8)&lt;3,"",SUM(I8:K8))</f>
      </c>
      <c r="O8" s="31">
        <f>IF(COUNT(L8:N8)&lt;3,"",SUM(L8:N8))</f>
      </c>
      <c r="P8" s="31">
        <f>IF(O8="","",RANK(O8,$O$3:$O$52))</f>
      </c>
      <c r="Q8" s="16"/>
    </row>
    <row r="9" ht="30" customHeight="1" spans="1:17" x14ac:dyDescent="0.25">
      <c r="A9" s="20">
        <f>IF(Register!A9="","",Register!A9)</f>
      </c>
      <c r="B9" s="20">
        <f>IF(Register!C9="","",Register!C9)</f>
      </c>
      <c r="C9" s="19"/>
      <c r="D9" s="19"/>
      <c r="E9" s="19"/>
      <c r="F9" s="19"/>
      <c r="G9" s="19"/>
      <c r="H9" s="19"/>
      <c r="I9" s="19"/>
      <c r="J9" s="19"/>
      <c r="K9" s="19"/>
      <c r="L9" s="31">
        <f>IF(COUNT(C9:E9)&lt;3,"",SUM(C9:E9))</f>
      </c>
      <c r="M9" s="31">
        <f>IF(COUNT(F9:H9)&lt;3,"",SUM(F9:H9))</f>
      </c>
      <c r="N9" s="31">
        <f>IF(COUNT(I9:K9)&lt;3,"",SUM(I9:K9))</f>
      </c>
      <c r="O9" s="31">
        <f>IF(COUNT(L9:N9)&lt;3,"",SUM(L9:N9))</f>
      </c>
      <c r="P9" s="31">
        <f>IF(O9="","",RANK(O9,$O$3:$O$52))</f>
      </c>
      <c r="Q9" s="16"/>
    </row>
    <row r="10" ht="30" customHeight="1" spans="1:17" x14ac:dyDescent="0.25">
      <c r="A10" s="20">
        <f>IF(Register!A10="","",Register!A10)</f>
      </c>
      <c r="B10" s="20">
        <f>IF(Register!C10="","",Register!C10)</f>
      </c>
      <c r="C10" s="19"/>
      <c r="D10" s="19"/>
      <c r="E10" s="19"/>
      <c r="F10" s="19"/>
      <c r="G10" s="19"/>
      <c r="H10" s="19"/>
      <c r="I10" s="19"/>
      <c r="J10" s="19"/>
      <c r="K10" s="19"/>
      <c r="L10" s="31">
        <f>IF(COUNT(C10:E10)&lt;3,"",SUM(C10:E10))</f>
      </c>
      <c r="M10" s="31">
        <f>IF(COUNT(F10:H10)&lt;3,"",SUM(F10:H10))</f>
      </c>
      <c r="N10" s="31">
        <f>IF(COUNT(I10:K10)&lt;3,"",SUM(I10:K10))</f>
      </c>
      <c r="O10" s="31">
        <f>IF(COUNT(L10:N10)&lt;3,"",SUM(L10:N10))</f>
      </c>
      <c r="P10" s="31">
        <f>IF(O10="","",RANK(O10,$O$3:$O$52))</f>
      </c>
      <c r="Q10" s="16"/>
    </row>
    <row r="11" ht="30" customHeight="1" spans="1:17" x14ac:dyDescent="0.25">
      <c r="A11" s="20">
        <f>IF(Register!A11="","",Register!A11)</f>
      </c>
      <c r="B11" s="20">
        <f>IF(Register!C11="","",Register!C11)</f>
      </c>
      <c r="C11" s="19"/>
      <c r="D11" s="19"/>
      <c r="E11" s="19"/>
      <c r="F11" s="19"/>
      <c r="G11" s="19"/>
      <c r="H11" s="19"/>
      <c r="I11" s="19"/>
      <c r="J11" s="19"/>
      <c r="K11" s="19"/>
      <c r="L11" s="31">
        <f>IF(COUNT(C11:E11)&lt;3,"",SUM(C11:E11))</f>
      </c>
      <c r="M11" s="31">
        <f>IF(COUNT(F11:H11)&lt;3,"",SUM(F11:H11))</f>
      </c>
      <c r="N11" s="31">
        <f>IF(COUNT(I11:K11)&lt;3,"",SUM(I11:K11))</f>
      </c>
      <c r="O11" s="31">
        <f>IF(COUNT(L11:N11)&lt;3,"",SUM(L11:N11))</f>
      </c>
      <c r="P11" s="31">
        <f>IF(O11="","",RANK(O11,$O$3:$O$52))</f>
      </c>
      <c r="Q11" s="16"/>
    </row>
    <row r="12" ht="30" customHeight="1" spans="1:17" x14ac:dyDescent="0.25">
      <c r="A12" s="20">
        <f>IF(Register!A12="","",Register!A12)</f>
      </c>
      <c r="B12" s="20">
        <f>IF(Register!C12="","",Register!C12)</f>
      </c>
      <c r="C12" s="19"/>
      <c r="D12" s="19"/>
      <c r="E12" s="19"/>
      <c r="F12" s="19"/>
      <c r="G12" s="19"/>
      <c r="H12" s="19"/>
      <c r="I12" s="19"/>
      <c r="J12" s="19"/>
      <c r="K12" s="19"/>
      <c r="L12" s="31">
        <f>IF(COUNT(C12:E12)&lt;3,"",SUM(C12:E12))</f>
      </c>
      <c r="M12" s="31">
        <f>IF(COUNT(F12:H12)&lt;3,"",SUM(F12:H12))</f>
      </c>
      <c r="N12" s="31">
        <f>IF(COUNT(I12:K12)&lt;3,"",SUM(I12:K12))</f>
      </c>
      <c r="O12" s="31">
        <f>IF(COUNT(L12:N12)&lt;3,"",SUM(L12:N12))</f>
      </c>
      <c r="P12" s="31">
        <f>IF(O12="","",RANK(O12,$O$3:$O$52))</f>
      </c>
      <c r="Q12" s="16"/>
    </row>
    <row r="13" ht="30" customHeight="1" spans="1:17" x14ac:dyDescent="0.25">
      <c r="A13" s="20">
        <f>IF(Register!A13="","",Register!A13)</f>
      </c>
      <c r="B13" s="20">
        <f>IF(Register!C13="","",Register!C13)</f>
      </c>
      <c r="C13" s="19"/>
      <c r="D13" s="19"/>
      <c r="E13" s="19"/>
      <c r="F13" s="19"/>
      <c r="G13" s="19"/>
      <c r="H13" s="19"/>
      <c r="I13" s="19"/>
      <c r="J13" s="19"/>
      <c r="K13" s="19"/>
      <c r="L13" s="31">
        <f>IF(COUNT(C13:E13)&lt;3,"",SUM(C13:E13))</f>
      </c>
      <c r="M13" s="31">
        <f>IF(COUNT(F13:H13)&lt;3,"",SUM(F13:H13))</f>
      </c>
      <c r="N13" s="31">
        <f>IF(COUNT(I13:K13)&lt;3,"",SUM(I13:K13))</f>
      </c>
      <c r="O13" s="31">
        <f>IF(COUNT(L13:N13)&lt;3,"",SUM(L13:N13))</f>
      </c>
      <c r="P13" s="31">
        <f>IF(O13="","",RANK(O13,$O$3:$O$52))</f>
      </c>
      <c r="Q13" s="16"/>
    </row>
    <row r="14" ht="30" customHeight="1" spans="1:17" x14ac:dyDescent="0.25">
      <c r="A14" s="20">
        <f>IF(Register!A14="","",Register!A14)</f>
      </c>
      <c r="B14" s="20">
        <f>IF(Register!C14="","",Register!C14)</f>
      </c>
      <c r="C14" s="19"/>
      <c r="D14" s="19"/>
      <c r="E14" s="19"/>
      <c r="F14" s="19"/>
      <c r="G14" s="19"/>
      <c r="H14" s="19"/>
      <c r="I14" s="19"/>
      <c r="J14" s="19"/>
      <c r="K14" s="19"/>
      <c r="L14" s="31">
        <f>IF(COUNT(C14:E14)&lt;3,"",SUM(C14:E14))</f>
      </c>
      <c r="M14" s="31">
        <f>IF(COUNT(F14:H14)&lt;3,"",SUM(F14:H14))</f>
      </c>
      <c r="N14" s="31">
        <f>IF(COUNT(I14:K14)&lt;3,"",SUM(I14:K14))</f>
      </c>
      <c r="O14" s="31">
        <f>IF(COUNT(L14:N14)&lt;3,"",SUM(L14:N14))</f>
      </c>
      <c r="P14" s="31">
        <f>IF(O14="","",RANK(O14,$O$3:$O$52))</f>
      </c>
      <c r="Q14" s="16"/>
    </row>
    <row r="15" ht="30" customHeight="1" spans="1:17" x14ac:dyDescent="0.25">
      <c r="A15" s="20">
        <f>IF(Register!A15="","",Register!A15)</f>
      </c>
      <c r="B15" s="20">
        <f>IF(Register!C15="","",Register!C15)</f>
      </c>
      <c r="C15" s="19"/>
      <c r="D15" s="19"/>
      <c r="E15" s="19"/>
      <c r="F15" s="19"/>
      <c r="G15" s="19"/>
      <c r="H15" s="19"/>
      <c r="I15" s="19"/>
      <c r="J15" s="19"/>
      <c r="K15" s="19"/>
      <c r="L15" s="31">
        <f>IF(COUNT(C15:E15)&lt;3,"",SUM(C15:E15))</f>
      </c>
      <c r="M15" s="31">
        <f>IF(COUNT(F15:H15)&lt;3,"",SUM(F15:H15))</f>
      </c>
      <c r="N15" s="31">
        <f>IF(COUNT(I15:K15)&lt;3,"",SUM(I15:K15))</f>
      </c>
      <c r="O15" s="31">
        <f>IF(COUNT(L15:N15)&lt;3,"",SUM(L15:N15))</f>
      </c>
      <c r="P15" s="31">
        <f>IF(O15="","",RANK(O15,$O$3:$O$52))</f>
      </c>
      <c r="Q15" s="16"/>
    </row>
    <row r="16" ht="30" customHeight="1" spans="1:17" x14ac:dyDescent="0.25">
      <c r="A16" s="20">
        <f>IF(Register!A16="","",Register!A16)</f>
      </c>
      <c r="B16" s="20">
        <f>IF(Register!C16="","",Register!C16)</f>
      </c>
      <c r="C16" s="19"/>
      <c r="D16" s="19"/>
      <c r="E16" s="19"/>
      <c r="F16" s="19"/>
      <c r="G16" s="19"/>
      <c r="H16" s="19"/>
      <c r="I16" s="19"/>
      <c r="J16" s="19"/>
      <c r="K16" s="19"/>
      <c r="L16" s="31">
        <f>IF(COUNT(C16:E16)&lt;3,"",SUM(C16:E16))</f>
      </c>
      <c r="M16" s="31">
        <f>IF(COUNT(F16:H16)&lt;3,"",SUM(F16:H16))</f>
      </c>
      <c r="N16" s="31">
        <f>IF(COUNT(I16:K16)&lt;3,"",SUM(I16:K16))</f>
      </c>
      <c r="O16" s="31">
        <f>IF(COUNT(L16:N16)&lt;3,"",SUM(L16:N16))</f>
      </c>
      <c r="P16" s="31">
        <f>IF(O16="","",RANK(O16,$O$3:$O$52))</f>
      </c>
      <c r="Q16" s="16"/>
    </row>
    <row r="17" ht="30" customHeight="1" spans="1:17" x14ac:dyDescent="0.25">
      <c r="A17" s="20">
        <f>IF(Register!A17="","",Register!A17)</f>
      </c>
      <c r="B17" s="20">
        <f>IF(Register!C17="","",Register!C17)</f>
      </c>
      <c r="C17" s="19"/>
      <c r="D17" s="19"/>
      <c r="E17" s="19"/>
      <c r="F17" s="19"/>
      <c r="G17" s="19"/>
      <c r="H17" s="19"/>
      <c r="I17" s="19"/>
      <c r="J17" s="19"/>
      <c r="K17" s="19"/>
      <c r="L17" s="31">
        <f>IF(COUNT(C17:E17)&lt;3,"",SUM(C17:E17))</f>
      </c>
      <c r="M17" s="31">
        <f>IF(COUNT(F17:H17)&lt;3,"",SUM(F17:H17))</f>
      </c>
      <c r="N17" s="31">
        <f>IF(COUNT(I17:K17)&lt;3,"",SUM(I17:K17))</f>
      </c>
      <c r="O17" s="31">
        <f>IF(COUNT(L17:N17)&lt;3,"",SUM(L17:N17))</f>
      </c>
      <c r="P17" s="31">
        <f>IF(O17="","",RANK(O17,$O$3:$O$52))</f>
      </c>
      <c r="Q17" s="16"/>
    </row>
    <row r="18" ht="30" customHeight="1" spans="1:17" x14ac:dyDescent="0.25">
      <c r="A18" s="20">
        <f>IF(Register!A18="","",Register!A18)</f>
      </c>
      <c r="B18" s="20">
        <f>IF(Register!C18="","",Register!C18)</f>
      </c>
      <c r="C18" s="19"/>
      <c r="D18" s="19"/>
      <c r="E18" s="19"/>
      <c r="F18" s="19"/>
      <c r="G18" s="19"/>
      <c r="H18" s="19"/>
      <c r="I18" s="19"/>
      <c r="J18" s="19"/>
      <c r="K18" s="19"/>
      <c r="L18" s="31">
        <f>IF(COUNT(C18:E18)&lt;3,"",SUM(C18:E18))</f>
      </c>
      <c r="M18" s="31">
        <f>IF(COUNT(F18:H18)&lt;3,"",SUM(F18:H18))</f>
      </c>
      <c r="N18" s="31">
        <f>IF(COUNT(I18:K18)&lt;3,"",SUM(I18:K18))</f>
      </c>
      <c r="O18" s="31">
        <f>IF(COUNT(L18:N18)&lt;3,"",SUM(L18:N18))</f>
      </c>
      <c r="P18" s="31">
        <f>IF(O18="","",RANK(O18,$O$3:$O$52))</f>
      </c>
      <c r="Q18" s="16"/>
    </row>
    <row r="19" ht="30" customHeight="1" spans="1:17" x14ac:dyDescent="0.25">
      <c r="A19" s="20">
        <f>IF(Register!A19="","",Register!A19)</f>
      </c>
      <c r="B19" s="20">
        <f>IF(Register!C19="","",Register!C19)</f>
      </c>
      <c r="C19" s="19"/>
      <c r="D19" s="19"/>
      <c r="E19" s="19"/>
      <c r="F19" s="19"/>
      <c r="G19" s="19"/>
      <c r="H19" s="19"/>
      <c r="I19" s="19"/>
      <c r="J19" s="19"/>
      <c r="K19" s="19"/>
      <c r="L19" s="31">
        <f>IF(COUNT(C19:E19)&lt;3,"",SUM(C19:E19))</f>
      </c>
      <c r="M19" s="31">
        <f>IF(COUNT(F19:H19)&lt;3,"",SUM(F19:H19))</f>
      </c>
      <c r="N19" s="31">
        <f>IF(COUNT(I19:K19)&lt;3,"",SUM(I19:K19))</f>
      </c>
      <c r="O19" s="31">
        <f>IF(COUNT(L19:N19)&lt;3,"",SUM(L19:N19))</f>
      </c>
      <c r="P19" s="31">
        <f>IF(O19="","",RANK(O19,$O$3:$O$52))</f>
      </c>
      <c r="Q19" s="16"/>
    </row>
    <row r="20" ht="30" customHeight="1" spans="1:17" x14ac:dyDescent="0.25">
      <c r="A20" s="20">
        <f>IF(Register!A20="","",Register!A20)</f>
      </c>
      <c r="B20" s="20">
        <f>IF(Register!C20="","",Register!C20)</f>
      </c>
      <c r="C20" s="19"/>
      <c r="D20" s="19"/>
      <c r="E20" s="19"/>
      <c r="F20" s="19"/>
      <c r="G20" s="19"/>
      <c r="H20" s="19"/>
      <c r="I20" s="19"/>
      <c r="J20" s="19"/>
      <c r="K20" s="19"/>
      <c r="L20" s="31">
        <f>IF(COUNT(C20:E20)&lt;3,"",SUM(C20:E20))</f>
      </c>
      <c r="M20" s="31">
        <f>IF(COUNT(F20:H20)&lt;3,"",SUM(F20:H20))</f>
      </c>
      <c r="N20" s="31">
        <f>IF(COUNT(I20:K20)&lt;3,"",SUM(I20:K20))</f>
      </c>
      <c r="O20" s="31">
        <f>IF(COUNT(L20:N20)&lt;3,"",SUM(L20:N20))</f>
      </c>
      <c r="P20" s="31">
        <f>IF(O20="","",RANK(O20,$O$3:$O$52))</f>
      </c>
      <c r="Q20" s="16"/>
    </row>
    <row r="21" ht="30" customHeight="1" spans="1:17" x14ac:dyDescent="0.25">
      <c r="A21" s="20">
        <f>IF(Register!A21="","",Register!A21)</f>
      </c>
      <c r="B21" s="20">
        <f>IF(Register!C21="","",Register!C21)</f>
      </c>
      <c r="C21" s="19"/>
      <c r="D21" s="19"/>
      <c r="E21" s="19"/>
      <c r="F21" s="19"/>
      <c r="G21" s="19"/>
      <c r="H21" s="19"/>
      <c r="I21" s="19"/>
      <c r="J21" s="19"/>
      <c r="K21" s="19"/>
      <c r="L21" s="31">
        <f>IF(COUNT(C21:E21)&lt;3,"",SUM(C21:E21))</f>
      </c>
      <c r="M21" s="31">
        <f>IF(COUNT(F21:H21)&lt;3,"",SUM(F21:H21))</f>
      </c>
      <c r="N21" s="31">
        <f>IF(COUNT(I21:K21)&lt;3,"",SUM(I21:K21))</f>
      </c>
      <c r="O21" s="31">
        <f>IF(COUNT(L21:N21)&lt;3,"",SUM(L21:N21))</f>
      </c>
      <c r="P21" s="31">
        <f>IF(O21="","",RANK(O21,$O$3:$O$52))</f>
      </c>
      <c r="Q21" s="16"/>
    </row>
    <row r="22" ht="30" customHeight="1" spans="1:17" x14ac:dyDescent="0.25">
      <c r="A22" s="20">
        <f>IF(Register!A22="","",Register!A22)</f>
      </c>
      <c r="B22" s="20">
        <f>IF(Register!C22="","",Register!C22)</f>
      </c>
      <c r="C22" s="19"/>
      <c r="D22" s="19"/>
      <c r="E22" s="19"/>
      <c r="F22" s="19"/>
      <c r="G22" s="19"/>
      <c r="H22" s="19"/>
      <c r="I22" s="19"/>
      <c r="J22" s="19"/>
      <c r="K22" s="19"/>
      <c r="L22" s="31">
        <f>IF(COUNT(C22:E22)&lt;3,"",SUM(C22:E22))</f>
      </c>
      <c r="M22" s="31">
        <f>IF(COUNT(F22:H22)&lt;3,"",SUM(F22:H22))</f>
      </c>
      <c r="N22" s="31">
        <f>IF(COUNT(I22:K22)&lt;3,"",SUM(I22:K22))</f>
      </c>
      <c r="O22" s="31">
        <f>IF(COUNT(L22:N22)&lt;3,"",SUM(L22:N22))</f>
      </c>
      <c r="P22" s="31">
        <f>IF(O22="","",RANK(O22,$O$3:$O$52))</f>
      </c>
      <c r="Q22" s="16"/>
    </row>
    <row r="23" ht="30" customHeight="1" spans="1:17" x14ac:dyDescent="0.25">
      <c r="A23" s="20">
        <f>IF(Register!A23="","",Register!A23)</f>
      </c>
      <c r="B23" s="20">
        <f>IF(Register!C23="","",Register!C23)</f>
      </c>
      <c r="C23" s="19"/>
      <c r="D23" s="19"/>
      <c r="E23" s="19"/>
      <c r="F23" s="19"/>
      <c r="G23" s="19"/>
      <c r="H23" s="19"/>
      <c r="I23" s="19"/>
      <c r="J23" s="19"/>
      <c r="K23" s="19"/>
      <c r="L23" s="31">
        <f>IF(COUNT(C23:E23)&lt;3,"",SUM(C23:E23))</f>
      </c>
      <c r="M23" s="31">
        <f>IF(COUNT(F23:H23)&lt;3,"",SUM(F23:H23))</f>
      </c>
      <c r="N23" s="31">
        <f>IF(COUNT(I23:K23)&lt;3,"",SUM(I23:K23))</f>
      </c>
      <c r="O23" s="31">
        <f>IF(COUNT(L23:N23)&lt;3,"",SUM(L23:N23))</f>
      </c>
      <c r="P23" s="31">
        <f>IF(O23="","",RANK(O23,$O$3:$O$52))</f>
      </c>
      <c r="Q23" s="16"/>
    </row>
    <row r="24" ht="30" customHeight="1" spans="1:17" x14ac:dyDescent="0.25">
      <c r="A24" s="20">
        <f>IF(Register!A24="","",Register!A24)</f>
      </c>
      <c r="B24" s="20">
        <f>IF(Register!C24="","",Register!C24)</f>
      </c>
      <c r="C24" s="19"/>
      <c r="D24" s="19"/>
      <c r="E24" s="19"/>
      <c r="F24" s="19"/>
      <c r="G24" s="19"/>
      <c r="H24" s="19"/>
      <c r="I24" s="19"/>
      <c r="J24" s="19"/>
      <c r="K24" s="19"/>
      <c r="L24" s="31">
        <f>IF(COUNT(C24:E24)&lt;3,"",SUM(C24:E24))</f>
      </c>
      <c r="M24" s="31">
        <f>IF(COUNT(F24:H24)&lt;3,"",SUM(F24:H24))</f>
      </c>
      <c r="N24" s="31">
        <f>IF(COUNT(I24:K24)&lt;3,"",SUM(I24:K24))</f>
      </c>
      <c r="O24" s="31">
        <f>IF(COUNT(L24:N24)&lt;3,"",SUM(L24:N24))</f>
      </c>
      <c r="P24" s="31">
        <f>IF(O24="","",RANK(O24,$O$3:$O$52))</f>
      </c>
      <c r="Q24" s="16"/>
    </row>
    <row r="25" ht="30" customHeight="1" spans="1:17" x14ac:dyDescent="0.25">
      <c r="A25" s="20">
        <f>IF(Register!A25="","",Register!A25)</f>
      </c>
      <c r="B25" s="20">
        <f>IF(Register!C25="","",Register!C25)</f>
      </c>
      <c r="C25" s="19"/>
      <c r="D25" s="19"/>
      <c r="E25" s="19"/>
      <c r="F25" s="19"/>
      <c r="G25" s="19"/>
      <c r="H25" s="19"/>
      <c r="I25" s="19"/>
      <c r="J25" s="19"/>
      <c r="K25" s="19"/>
      <c r="L25" s="31">
        <f>IF(COUNT(C25:E25)&lt;3,"",SUM(C25:E25))</f>
      </c>
      <c r="M25" s="31">
        <f>IF(COUNT(F25:H25)&lt;3,"",SUM(F25:H25))</f>
      </c>
      <c r="N25" s="31">
        <f>IF(COUNT(I25:K25)&lt;3,"",SUM(I25:K25))</f>
      </c>
      <c r="O25" s="31">
        <f>IF(COUNT(L25:N25)&lt;3,"",SUM(L25:N25))</f>
      </c>
      <c r="P25" s="31">
        <f>IF(O25="","",RANK(O25,$O$3:$O$52))</f>
      </c>
      <c r="Q25" s="16"/>
    </row>
    <row r="26" ht="30" customHeight="1" spans="1:17" x14ac:dyDescent="0.25">
      <c r="A26" s="20">
        <f>IF(Register!A26="","",Register!A26)</f>
      </c>
      <c r="B26" s="20">
        <f>IF(Register!C26="","",Register!C26)</f>
      </c>
      <c r="C26" s="19"/>
      <c r="D26" s="19"/>
      <c r="E26" s="19"/>
      <c r="F26" s="19"/>
      <c r="G26" s="19"/>
      <c r="H26" s="19"/>
      <c r="I26" s="19"/>
      <c r="J26" s="19"/>
      <c r="K26" s="19"/>
      <c r="L26" s="31">
        <f>IF(COUNT(C26:E26)&lt;3,"",SUM(C26:E26))</f>
      </c>
      <c r="M26" s="31">
        <f>IF(COUNT(F26:H26)&lt;3,"",SUM(F26:H26))</f>
      </c>
      <c r="N26" s="31">
        <f>IF(COUNT(I26:K26)&lt;3,"",SUM(I26:K26))</f>
      </c>
      <c r="O26" s="31">
        <f>IF(COUNT(L26:N26)&lt;3,"",SUM(L26:N26))</f>
      </c>
      <c r="P26" s="31">
        <f>IF(O26="","",RANK(O26,$O$3:$O$52))</f>
      </c>
      <c r="Q26" s="16"/>
    </row>
    <row r="27" ht="30" customHeight="1" spans="1:17" x14ac:dyDescent="0.25">
      <c r="A27" s="20">
        <f>IF(Register!A27="","",Register!A27)</f>
      </c>
      <c r="B27" s="20">
        <f>IF(Register!C27="","",Register!C27)</f>
      </c>
      <c r="C27" s="19"/>
      <c r="D27" s="19"/>
      <c r="E27" s="19"/>
      <c r="F27" s="19"/>
      <c r="G27" s="19"/>
      <c r="H27" s="19"/>
      <c r="I27" s="19"/>
      <c r="J27" s="19"/>
      <c r="K27" s="19"/>
      <c r="L27" s="31">
        <f>IF(COUNT(C27:E27)&lt;3,"",SUM(C27:E27))</f>
      </c>
      <c r="M27" s="31">
        <f>IF(COUNT(F27:H27)&lt;3,"",SUM(F27:H27))</f>
      </c>
      <c r="N27" s="31">
        <f>IF(COUNT(I27:K27)&lt;3,"",SUM(I27:K27))</f>
      </c>
      <c r="O27" s="31">
        <f>IF(COUNT(L27:N27)&lt;3,"",SUM(L27:N27))</f>
      </c>
      <c r="P27" s="31">
        <f>IF(O27="","",RANK(O27,$O$3:$O$52))</f>
      </c>
      <c r="Q27" s="16"/>
    </row>
    <row r="28" ht="30" customHeight="1" spans="1:17" x14ac:dyDescent="0.25">
      <c r="A28" s="20">
        <f>IF(Register!A28="","",Register!A28)</f>
      </c>
      <c r="B28" s="20">
        <f>IF(Register!C28="","",Register!C28)</f>
      </c>
      <c r="C28" s="19"/>
      <c r="D28" s="19"/>
      <c r="E28" s="19"/>
      <c r="F28" s="19"/>
      <c r="G28" s="19"/>
      <c r="H28" s="19"/>
      <c r="I28" s="19"/>
      <c r="J28" s="19"/>
      <c r="K28" s="19"/>
      <c r="L28" s="31">
        <f>IF(COUNT(C28:E28)&lt;3,"",SUM(C28:E28))</f>
      </c>
      <c r="M28" s="31">
        <f>IF(COUNT(F28:H28)&lt;3,"",SUM(F28:H28))</f>
      </c>
      <c r="N28" s="31">
        <f>IF(COUNT(I28:K28)&lt;3,"",SUM(I28:K28))</f>
      </c>
      <c r="O28" s="31">
        <f>IF(COUNT(L28:N28)&lt;3,"",SUM(L28:N28))</f>
      </c>
      <c r="P28" s="31">
        <f>IF(O28="","",RANK(O28,$O$3:$O$52))</f>
      </c>
      <c r="Q28" s="16"/>
    </row>
    <row r="29" ht="30" customHeight="1" spans="1:17" x14ac:dyDescent="0.25">
      <c r="A29" s="20">
        <f>IF(Register!A29="","",Register!A29)</f>
      </c>
      <c r="B29" s="20">
        <f>IF(Register!C29="","",Register!C29)</f>
      </c>
      <c r="C29" s="19"/>
      <c r="D29" s="19"/>
      <c r="E29" s="19"/>
      <c r="F29" s="19"/>
      <c r="G29" s="19"/>
      <c r="H29" s="19"/>
      <c r="I29" s="19"/>
      <c r="J29" s="19"/>
      <c r="K29" s="19"/>
      <c r="L29" s="31">
        <f>IF(COUNT(C29:E29)&lt;3,"",SUM(C29:E29))</f>
      </c>
      <c r="M29" s="31">
        <f>IF(COUNT(F29:H29)&lt;3,"",SUM(F29:H29))</f>
      </c>
      <c r="N29" s="31">
        <f>IF(COUNT(I29:K29)&lt;3,"",SUM(I29:K29))</f>
      </c>
      <c r="O29" s="31">
        <f>IF(COUNT(L29:N29)&lt;3,"",SUM(L29:N29))</f>
      </c>
      <c r="P29" s="31">
        <f>IF(O29="","",RANK(O29,$O$3:$O$52))</f>
      </c>
      <c r="Q29" s="16"/>
    </row>
    <row r="30" ht="30" customHeight="1" spans="1:17" x14ac:dyDescent="0.25">
      <c r="A30" s="20">
        <f>IF(Register!A30="","",Register!A30)</f>
      </c>
      <c r="B30" s="20">
        <f>IF(Register!C30="","",Register!C30)</f>
      </c>
      <c r="C30" s="19"/>
      <c r="D30" s="19"/>
      <c r="E30" s="19"/>
      <c r="F30" s="19"/>
      <c r="G30" s="19"/>
      <c r="H30" s="19"/>
      <c r="I30" s="19"/>
      <c r="J30" s="19"/>
      <c r="K30" s="19"/>
      <c r="L30" s="31">
        <f>IF(COUNT(C30:E30)&lt;3,"",SUM(C30:E30))</f>
      </c>
      <c r="M30" s="31">
        <f>IF(COUNT(F30:H30)&lt;3,"",SUM(F30:H30))</f>
      </c>
      <c r="N30" s="31">
        <f>IF(COUNT(I30:K30)&lt;3,"",SUM(I30:K30))</f>
      </c>
      <c r="O30" s="31">
        <f>IF(COUNT(L30:N30)&lt;3,"",SUM(L30:N30))</f>
      </c>
      <c r="P30" s="31">
        <f>IF(O30="","",RANK(O30,$O$3:$O$52))</f>
      </c>
      <c r="Q30" s="16"/>
    </row>
    <row r="31" ht="30" customHeight="1" spans="1:17" x14ac:dyDescent="0.25">
      <c r="A31" s="20">
        <f>IF(Register!A31="","",Register!A31)</f>
      </c>
      <c r="B31" s="20">
        <f>IF(Register!C31="","",Register!C31)</f>
      </c>
      <c r="C31" s="19"/>
      <c r="D31" s="19"/>
      <c r="E31" s="19"/>
      <c r="F31" s="19"/>
      <c r="G31" s="19"/>
      <c r="H31" s="19"/>
      <c r="I31" s="19"/>
      <c r="J31" s="19"/>
      <c r="K31" s="19"/>
      <c r="L31" s="31">
        <f>IF(COUNT(C31:E31)&lt;3,"",SUM(C31:E31))</f>
      </c>
      <c r="M31" s="31">
        <f>IF(COUNT(F31:H31)&lt;3,"",SUM(F31:H31))</f>
      </c>
      <c r="N31" s="31">
        <f>IF(COUNT(I31:K31)&lt;3,"",SUM(I31:K31))</f>
      </c>
      <c r="O31" s="31">
        <f>IF(COUNT(L31:N31)&lt;3,"",SUM(L31:N31))</f>
      </c>
      <c r="P31" s="31">
        <f>IF(O31="","",RANK(O31,$O$3:$O$52))</f>
      </c>
      <c r="Q31" s="16"/>
    </row>
    <row r="32" ht="30" customHeight="1" spans="1:17" x14ac:dyDescent="0.25">
      <c r="A32" s="20">
        <f>IF(Register!A32="","",Register!A32)</f>
      </c>
      <c r="B32" s="20">
        <f>IF(Register!C32="","",Register!C32)</f>
      </c>
      <c r="C32" s="19"/>
      <c r="D32" s="19"/>
      <c r="E32" s="19"/>
      <c r="F32" s="19"/>
      <c r="G32" s="19"/>
      <c r="H32" s="19"/>
      <c r="I32" s="19"/>
      <c r="J32" s="19"/>
      <c r="K32" s="19"/>
      <c r="L32" s="31">
        <f>IF(COUNT(C32:E32)&lt;3,"",SUM(C32:E32))</f>
      </c>
      <c r="M32" s="31">
        <f>IF(COUNT(F32:H32)&lt;3,"",SUM(F32:H32))</f>
      </c>
      <c r="N32" s="31">
        <f>IF(COUNT(I32:K32)&lt;3,"",SUM(I32:K32))</f>
      </c>
      <c r="O32" s="31">
        <f>IF(COUNT(L32:N32)&lt;3,"",SUM(L32:N32))</f>
      </c>
      <c r="P32" s="31">
        <f>IF(O32="","",RANK(O32,$O$3:$O$52))</f>
      </c>
      <c r="Q32" s="16"/>
    </row>
    <row r="33" ht="30" customHeight="1" spans="1:17" x14ac:dyDescent="0.25">
      <c r="A33" s="20">
        <f>IF(Register!A33="","",Register!A33)</f>
      </c>
      <c r="B33" s="20">
        <f>IF(Register!C33="","",Register!C33)</f>
      </c>
      <c r="C33" s="19"/>
      <c r="D33" s="19"/>
      <c r="E33" s="19"/>
      <c r="F33" s="19"/>
      <c r="G33" s="19"/>
      <c r="H33" s="19"/>
      <c r="I33" s="19"/>
      <c r="J33" s="19"/>
      <c r="K33" s="19"/>
      <c r="L33" s="31">
        <f>IF(COUNT(C33:E33)&lt;3,"",SUM(C33:E33))</f>
      </c>
      <c r="M33" s="31">
        <f>IF(COUNT(F33:H33)&lt;3,"",SUM(F33:H33))</f>
      </c>
      <c r="N33" s="31">
        <f>IF(COUNT(I33:K33)&lt;3,"",SUM(I33:K33))</f>
      </c>
      <c r="O33" s="31">
        <f>IF(COUNT(L33:N33)&lt;3,"",SUM(L33:N33))</f>
      </c>
      <c r="P33" s="31">
        <f>IF(O33="","",RANK(O33,$O$3:$O$52))</f>
      </c>
      <c r="Q33" s="16"/>
    </row>
    <row r="34" ht="30" customHeight="1" spans="1:17" x14ac:dyDescent="0.25">
      <c r="A34" s="20">
        <f>IF(Register!A34="","",Register!A34)</f>
      </c>
      <c r="B34" s="20">
        <f>IF(Register!C34="","",Register!C34)</f>
      </c>
      <c r="C34" s="19"/>
      <c r="D34" s="19"/>
      <c r="E34" s="19"/>
      <c r="F34" s="19"/>
      <c r="G34" s="19"/>
      <c r="H34" s="19"/>
      <c r="I34" s="19"/>
      <c r="J34" s="19"/>
      <c r="K34" s="19"/>
      <c r="L34" s="31">
        <f>IF(COUNT(C34:E34)&lt;3,"",SUM(C34:E34))</f>
      </c>
      <c r="M34" s="31">
        <f>IF(COUNT(F34:H34)&lt;3,"",SUM(F34:H34))</f>
      </c>
      <c r="N34" s="31">
        <f>IF(COUNT(I34:K34)&lt;3,"",SUM(I34:K34))</f>
      </c>
      <c r="O34" s="31">
        <f>IF(COUNT(L34:N34)&lt;3,"",SUM(L34:N34))</f>
      </c>
      <c r="P34" s="31">
        <f>IF(O34="","",RANK(O34,$O$3:$O$52))</f>
      </c>
      <c r="Q34" s="16"/>
    </row>
    <row r="35" ht="30" customHeight="1" spans="1:17" x14ac:dyDescent="0.25">
      <c r="A35" s="20">
        <f>IF(Register!A35="","",Register!A35)</f>
      </c>
      <c r="B35" s="20">
        <f>IF(Register!C35="","",Register!C35)</f>
      </c>
      <c r="C35" s="19"/>
      <c r="D35" s="19"/>
      <c r="E35" s="19"/>
      <c r="F35" s="19"/>
      <c r="G35" s="19"/>
      <c r="H35" s="19"/>
      <c r="I35" s="19"/>
      <c r="J35" s="19"/>
      <c r="K35" s="19"/>
      <c r="L35" s="31">
        <f>IF(COUNT(C35:E35)&lt;3,"",SUM(C35:E35))</f>
      </c>
      <c r="M35" s="31">
        <f>IF(COUNT(F35:H35)&lt;3,"",SUM(F35:H35))</f>
      </c>
      <c r="N35" s="31">
        <f>IF(COUNT(I35:K35)&lt;3,"",SUM(I35:K35))</f>
      </c>
      <c r="O35" s="31">
        <f>IF(COUNT(L35:N35)&lt;3,"",SUM(L35:N35))</f>
      </c>
      <c r="P35" s="31">
        <f>IF(O35="","",RANK(O35,$O$3:$O$52))</f>
      </c>
      <c r="Q35" s="16"/>
    </row>
    <row r="36" ht="30" customHeight="1" spans="1:17" x14ac:dyDescent="0.25">
      <c r="A36" s="20">
        <f>IF(Register!A36="","",Register!A36)</f>
      </c>
      <c r="B36" s="20">
        <f>IF(Register!C36="","",Register!C36)</f>
      </c>
      <c r="C36" s="19"/>
      <c r="D36" s="19"/>
      <c r="E36" s="19"/>
      <c r="F36" s="19"/>
      <c r="G36" s="19"/>
      <c r="H36" s="19"/>
      <c r="I36" s="19"/>
      <c r="J36" s="19"/>
      <c r="K36" s="19"/>
      <c r="L36" s="31">
        <f>IF(COUNT(C36:E36)&lt;3,"",SUM(C36:E36))</f>
      </c>
      <c r="M36" s="31">
        <f>IF(COUNT(F36:H36)&lt;3,"",SUM(F36:H36))</f>
      </c>
      <c r="N36" s="31">
        <f>IF(COUNT(I36:K36)&lt;3,"",SUM(I36:K36))</f>
      </c>
      <c r="O36" s="31">
        <f>IF(COUNT(L36:N36)&lt;3,"",SUM(L36:N36))</f>
      </c>
      <c r="P36" s="31">
        <f>IF(O36="","",RANK(O36,$O$3:$O$52))</f>
      </c>
      <c r="Q36" s="16"/>
    </row>
    <row r="37" ht="30" customHeight="1" spans="1:17" x14ac:dyDescent="0.25">
      <c r="A37" s="20">
        <f>IF(Register!A37="","",Register!A37)</f>
      </c>
      <c r="B37" s="20">
        <f>IF(Register!C37="","",Register!C37)</f>
      </c>
      <c r="C37" s="19"/>
      <c r="D37" s="19"/>
      <c r="E37" s="19"/>
      <c r="F37" s="19"/>
      <c r="G37" s="19"/>
      <c r="H37" s="19"/>
      <c r="I37" s="19"/>
      <c r="J37" s="19"/>
      <c r="K37" s="19"/>
      <c r="L37" s="31">
        <f>IF(COUNT(C37:E37)&lt;3,"",SUM(C37:E37))</f>
      </c>
      <c r="M37" s="31">
        <f>IF(COUNT(F37:H37)&lt;3,"",SUM(F37:H37))</f>
      </c>
      <c r="N37" s="31">
        <f>IF(COUNT(I37:K37)&lt;3,"",SUM(I37:K37))</f>
      </c>
      <c r="O37" s="31">
        <f>IF(COUNT(L37:N37)&lt;3,"",SUM(L37:N37))</f>
      </c>
      <c r="P37" s="31">
        <f>IF(O37="","",RANK(O37,$O$3:$O$52))</f>
      </c>
      <c r="Q37" s="16"/>
    </row>
    <row r="38" ht="30" customHeight="1" spans="1:17" x14ac:dyDescent="0.25">
      <c r="A38" s="20">
        <f>IF(Register!A38="","",Register!A38)</f>
      </c>
      <c r="B38" s="20">
        <f>IF(Register!C38="","",Register!C38)</f>
      </c>
      <c r="C38" s="19"/>
      <c r="D38" s="19"/>
      <c r="E38" s="19"/>
      <c r="F38" s="19"/>
      <c r="G38" s="19"/>
      <c r="H38" s="19"/>
      <c r="I38" s="19"/>
      <c r="J38" s="19"/>
      <c r="K38" s="19"/>
      <c r="L38" s="31">
        <f>IF(COUNT(C38:E38)&lt;3,"",SUM(C38:E38))</f>
      </c>
      <c r="M38" s="31">
        <f>IF(COUNT(F38:H38)&lt;3,"",SUM(F38:H38))</f>
      </c>
      <c r="N38" s="31">
        <f>IF(COUNT(I38:K38)&lt;3,"",SUM(I38:K38))</f>
      </c>
      <c r="O38" s="31">
        <f>IF(COUNT(L38:N38)&lt;3,"",SUM(L38:N38))</f>
      </c>
      <c r="P38" s="31">
        <f>IF(O38="","",RANK(O38,$O$3:$O$52))</f>
      </c>
      <c r="Q38" s="16"/>
    </row>
    <row r="39" ht="30" customHeight="1" spans="1:17" x14ac:dyDescent="0.25">
      <c r="A39" s="20">
        <f>IF(Register!A39="","",Register!A39)</f>
      </c>
      <c r="B39" s="20">
        <f>IF(Register!C39="","",Register!C39)</f>
      </c>
      <c r="C39" s="19"/>
      <c r="D39" s="19"/>
      <c r="E39" s="19"/>
      <c r="F39" s="19"/>
      <c r="G39" s="19"/>
      <c r="H39" s="19"/>
      <c r="I39" s="19"/>
      <c r="J39" s="19"/>
      <c r="K39" s="19"/>
      <c r="L39" s="31">
        <f>IF(COUNT(C39:E39)&lt;3,"",SUM(C39:E39))</f>
      </c>
      <c r="M39" s="31">
        <f>IF(COUNT(F39:H39)&lt;3,"",SUM(F39:H39))</f>
      </c>
      <c r="N39" s="31">
        <f>IF(COUNT(I39:K39)&lt;3,"",SUM(I39:K39))</f>
      </c>
      <c r="O39" s="31">
        <f>IF(COUNT(L39:N39)&lt;3,"",SUM(L39:N39))</f>
      </c>
      <c r="P39" s="31">
        <f>IF(O39="","",RANK(O39,$O$3:$O$52))</f>
      </c>
      <c r="Q39" s="16"/>
    </row>
    <row r="40" ht="30" customHeight="1" spans="1:17" x14ac:dyDescent="0.25">
      <c r="A40" s="20">
        <f>IF(Register!A40="","",Register!A40)</f>
      </c>
      <c r="B40" s="20">
        <f>IF(Register!C40="","",Register!C40)</f>
      </c>
      <c r="C40" s="19"/>
      <c r="D40" s="19"/>
      <c r="E40" s="19"/>
      <c r="F40" s="19"/>
      <c r="G40" s="19"/>
      <c r="H40" s="19"/>
      <c r="I40" s="19"/>
      <c r="J40" s="19"/>
      <c r="K40" s="19"/>
      <c r="L40" s="31">
        <f>IF(COUNT(C40:E40)&lt;3,"",SUM(C40:E40))</f>
      </c>
      <c r="M40" s="31">
        <f>IF(COUNT(F40:H40)&lt;3,"",SUM(F40:H40))</f>
      </c>
      <c r="N40" s="31">
        <f>IF(COUNT(I40:K40)&lt;3,"",SUM(I40:K40))</f>
      </c>
      <c r="O40" s="31">
        <f>IF(COUNT(L40:N40)&lt;3,"",SUM(L40:N40))</f>
      </c>
      <c r="P40" s="31">
        <f>IF(O40="","",RANK(O40,$O$3:$O$52))</f>
      </c>
      <c r="Q40" s="16"/>
    </row>
    <row r="41" ht="30" customHeight="1" spans="1:17" x14ac:dyDescent="0.25">
      <c r="A41" s="20">
        <f>IF(Register!A41="","",Register!A41)</f>
      </c>
      <c r="B41" s="20">
        <f>IF(Register!C41="","",Register!C41)</f>
      </c>
      <c r="C41" s="19"/>
      <c r="D41" s="19"/>
      <c r="E41" s="19"/>
      <c r="F41" s="19"/>
      <c r="G41" s="19"/>
      <c r="H41" s="19"/>
      <c r="I41" s="19"/>
      <c r="J41" s="19"/>
      <c r="K41" s="19"/>
      <c r="L41" s="31">
        <f>IF(COUNT(C41:E41)&lt;3,"",SUM(C41:E41))</f>
      </c>
      <c r="M41" s="31">
        <f>IF(COUNT(F41:H41)&lt;3,"",SUM(F41:H41))</f>
      </c>
      <c r="N41" s="31">
        <f>IF(COUNT(I41:K41)&lt;3,"",SUM(I41:K41))</f>
      </c>
      <c r="O41" s="31">
        <f>IF(COUNT(L41:N41)&lt;3,"",SUM(L41:N41))</f>
      </c>
      <c r="P41" s="31">
        <f>IF(O41="","",RANK(O41,$O$3:$O$52))</f>
      </c>
      <c r="Q41" s="16"/>
    </row>
    <row r="42" ht="30" customHeight="1" spans="1:17" x14ac:dyDescent="0.25">
      <c r="A42" s="20">
        <f>IF(Register!A42="","",Register!A42)</f>
      </c>
      <c r="B42" s="20">
        <f>IF(Register!C42="","",Register!C42)</f>
      </c>
      <c r="C42" s="19"/>
      <c r="D42" s="19"/>
      <c r="E42" s="19"/>
      <c r="F42" s="19"/>
      <c r="G42" s="19"/>
      <c r="H42" s="19"/>
      <c r="I42" s="19"/>
      <c r="J42" s="19"/>
      <c r="K42" s="19"/>
      <c r="L42" s="31">
        <f>IF(COUNT(C42:E42)&lt;3,"",SUM(C42:E42))</f>
      </c>
      <c r="M42" s="31">
        <f>IF(COUNT(F42:H42)&lt;3,"",SUM(F42:H42))</f>
      </c>
      <c r="N42" s="31">
        <f>IF(COUNT(I42:K42)&lt;3,"",SUM(I42:K42))</f>
      </c>
      <c r="O42" s="31">
        <f>IF(COUNT(L42:N42)&lt;3,"",SUM(L42:N42))</f>
      </c>
      <c r="P42" s="31">
        <f>IF(O42="","",RANK(O42,$O$3:$O$52))</f>
      </c>
      <c r="Q42" s="16"/>
    </row>
    <row r="43" ht="30" customHeight="1" spans="1:17" x14ac:dyDescent="0.25">
      <c r="A43" s="20">
        <f>IF(Register!A43="","",Register!A43)</f>
      </c>
      <c r="B43" s="20">
        <f>IF(Register!C43="","",Register!C43)</f>
      </c>
      <c r="C43" s="19"/>
      <c r="D43" s="19"/>
      <c r="E43" s="19"/>
      <c r="F43" s="19"/>
      <c r="G43" s="19"/>
      <c r="H43" s="19"/>
      <c r="I43" s="19"/>
      <c r="J43" s="19"/>
      <c r="K43" s="19"/>
      <c r="L43" s="31">
        <f>IF(COUNT(C43:E43)&lt;3,"",SUM(C43:E43))</f>
      </c>
      <c r="M43" s="31">
        <f>IF(COUNT(F43:H43)&lt;3,"",SUM(F43:H43))</f>
      </c>
      <c r="N43" s="31">
        <f>IF(COUNT(I43:K43)&lt;3,"",SUM(I43:K43))</f>
      </c>
      <c r="O43" s="31">
        <f>IF(COUNT(L43:N43)&lt;3,"",SUM(L43:N43))</f>
      </c>
      <c r="P43" s="31">
        <f>IF(O43="","",RANK(O43,$O$3:$O$52))</f>
      </c>
      <c r="Q43" s="16"/>
    </row>
    <row r="44" ht="30" customHeight="1" spans="1:17" x14ac:dyDescent="0.25">
      <c r="A44" s="20">
        <f>IF(Register!A44="","",Register!A44)</f>
      </c>
      <c r="B44" s="20">
        <f>IF(Register!C44="","",Register!C44)</f>
      </c>
      <c r="C44" s="19"/>
      <c r="D44" s="19"/>
      <c r="E44" s="19"/>
      <c r="F44" s="19"/>
      <c r="G44" s="19"/>
      <c r="H44" s="19"/>
      <c r="I44" s="19"/>
      <c r="J44" s="19"/>
      <c r="K44" s="19"/>
      <c r="L44" s="31">
        <f>IF(COUNT(C44:E44)&lt;3,"",SUM(C44:E44))</f>
      </c>
      <c r="M44" s="31">
        <f>IF(COUNT(F44:H44)&lt;3,"",SUM(F44:H44))</f>
      </c>
      <c r="N44" s="31">
        <f>IF(COUNT(I44:K44)&lt;3,"",SUM(I44:K44))</f>
      </c>
      <c r="O44" s="31">
        <f>IF(COUNT(L44:N44)&lt;3,"",SUM(L44:N44))</f>
      </c>
      <c r="P44" s="31">
        <f>IF(O44="","",RANK(O44,$O$3:$O$52))</f>
      </c>
      <c r="Q44" s="16"/>
    </row>
    <row r="45" ht="30" customHeight="1" spans="1:17" x14ac:dyDescent="0.25">
      <c r="A45" s="20">
        <f>IF(Register!A45="","",Register!A45)</f>
      </c>
      <c r="B45" s="20">
        <f>IF(Register!C45="","",Register!C45)</f>
      </c>
      <c r="C45" s="19"/>
      <c r="D45" s="19"/>
      <c r="E45" s="19"/>
      <c r="F45" s="19"/>
      <c r="G45" s="19"/>
      <c r="H45" s="19"/>
      <c r="I45" s="19"/>
      <c r="J45" s="19"/>
      <c r="K45" s="19"/>
      <c r="L45" s="31">
        <f>IF(COUNT(C45:E45)&lt;3,"",SUM(C45:E45))</f>
      </c>
      <c r="M45" s="31">
        <f>IF(COUNT(F45:H45)&lt;3,"",SUM(F45:H45))</f>
      </c>
      <c r="N45" s="31">
        <f>IF(COUNT(I45:K45)&lt;3,"",SUM(I45:K45))</f>
      </c>
      <c r="O45" s="31">
        <f>IF(COUNT(L45:N45)&lt;3,"",SUM(L45:N45))</f>
      </c>
      <c r="P45" s="31">
        <f>IF(O45="","",RANK(O45,$O$3:$O$52))</f>
      </c>
      <c r="Q45" s="16"/>
    </row>
    <row r="46" ht="30" customHeight="1" spans="1:17" x14ac:dyDescent="0.25">
      <c r="A46" s="20">
        <f>IF(Register!A46="","",Register!A46)</f>
      </c>
      <c r="B46" s="20">
        <f>IF(Register!C46="","",Register!C46)</f>
      </c>
      <c r="C46" s="19"/>
      <c r="D46" s="19"/>
      <c r="E46" s="19"/>
      <c r="F46" s="19"/>
      <c r="G46" s="19"/>
      <c r="H46" s="19"/>
      <c r="I46" s="19"/>
      <c r="J46" s="19"/>
      <c r="K46" s="19"/>
      <c r="L46" s="31">
        <f>IF(COUNT(C46:E46)&lt;3,"",SUM(C46:E46))</f>
      </c>
      <c r="M46" s="31">
        <f>IF(COUNT(F46:H46)&lt;3,"",SUM(F46:H46))</f>
      </c>
      <c r="N46" s="31">
        <f>IF(COUNT(I46:K46)&lt;3,"",SUM(I46:K46))</f>
      </c>
      <c r="O46" s="31">
        <f>IF(COUNT(L46:N46)&lt;3,"",SUM(L46:N46))</f>
      </c>
      <c r="P46" s="31">
        <f>IF(O46="","",RANK(O46,$O$3:$O$52))</f>
      </c>
      <c r="Q46" s="16"/>
    </row>
    <row r="47" ht="30" customHeight="1" spans="1:17" x14ac:dyDescent="0.25">
      <c r="A47" s="20">
        <f>IF(Register!A47="","",Register!A47)</f>
      </c>
      <c r="B47" s="20">
        <f>IF(Register!C47="","",Register!C47)</f>
      </c>
      <c r="C47" s="19"/>
      <c r="D47" s="19"/>
      <c r="E47" s="19"/>
      <c r="F47" s="19"/>
      <c r="G47" s="19"/>
      <c r="H47" s="19"/>
      <c r="I47" s="19"/>
      <c r="J47" s="19"/>
      <c r="K47" s="19"/>
      <c r="L47" s="31">
        <f>IF(COUNT(C47:E47)&lt;3,"",SUM(C47:E47))</f>
      </c>
      <c r="M47" s="31">
        <f>IF(COUNT(F47:H47)&lt;3,"",SUM(F47:H47))</f>
      </c>
      <c r="N47" s="31">
        <f>IF(COUNT(I47:K47)&lt;3,"",SUM(I47:K47))</f>
      </c>
      <c r="O47" s="31">
        <f>IF(COUNT(L47:N47)&lt;3,"",SUM(L47:N47))</f>
      </c>
      <c r="P47" s="31">
        <f>IF(O47="","",RANK(O47,$O$3:$O$52))</f>
      </c>
      <c r="Q47" s="16"/>
    </row>
    <row r="48" ht="30" customHeight="1" spans="1:17" x14ac:dyDescent="0.25">
      <c r="A48" s="20">
        <f>IF(Register!A48="","",Register!A48)</f>
      </c>
      <c r="B48" s="20">
        <f>IF(Register!C48="","",Register!C48)</f>
      </c>
      <c r="C48" s="19"/>
      <c r="D48" s="19"/>
      <c r="E48" s="19"/>
      <c r="F48" s="19"/>
      <c r="G48" s="19"/>
      <c r="H48" s="19"/>
      <c r="I48" s="19"/>
      <c r="J48" s="19"/>
      <c r="K48" s="19"/>
      <c r="L48" s="31">
        <f>IF(COUNT(C48:E48)&lt;3,"",SUM(C48:E48))</f>
      </c>
      <c r="M48" s="31">
        <f>IF(COUNT(F48:H48)&lt;3,"",SUM(F48:H48))</f>
      </c>
      <c r="N48" s="31">
        <f>IF(COUNT(I48:K48)&lt;3,"",SUM(I48:K48))</f>
      </c>
      <c r="O48" s="31">
        <f>IF(COUNT(L48:N48)&lt;3,"",SUM(L48:N48))</f>
      </c>
      <c r="P48" s="31">
        <f>IF(O48="","",RANK(O48,$O$3:$O$52))</f>
      </c>
      <c r="Q48" s="16"/>
    </row>
    <row r="49" ht="30" customHeight="1" spans="1:17" x14ac:dyDescent="0.25">
      <c r="A49" s="20">
        <f>IF(Register!A49="","",Register!A49)</f>
      </c>
      <c r="B49" s="20">
        <f>IF(Register!C49="","",Register!C49)</f>
      </c>
      <c r="C49" s="19"/>
      <c r="D49" s="19"/>
      <c r="E49" s="19"/>
      <c r="F49" s="19"/>
      <c r="G49" s="19"/>
      <c r="H49" s="19"/>
      <c r="I49" s="19"/>
      <c r="J49" s="19"/>
      <c r="K49" s="19"/>
      <c r="L49" s="31">
        <f>IF(COUNT(C49:E49)&lt;3,"",SUM(C49:E49))</f>
      </c>
      <c r="M49" s="31">
        <f>IF(COUNT(F49:H49)&lt;3,"",SUM(F49:H49))</f>
      </c>
      <c r="N49" s="31">
        <f>IF(COUNT(I49:K49)&lt;3,"",SUM(I49:K49))</f>
      </c>
      <c r="O49" s="31">
        <f>IF(COUNT(L49:N49)&lt;3,"",SUM(L49:N49))</f>
      </c>
      <c r="P49" s="31">
        <f>IF(O49="","",RANK(O49,$O$3:$O$52))</f>
      </c>
      <c r="Q49" s="16"/>
    </row>
    <row r="50" ht="30" customHeight="1" spans="1:17" x14ac:dyDescent="0.25">
      <c r="A50" s="20">
        <f>IF(Register!A50="","",Register!A50)</f>
      </c>
      <c r="B50" s="20">
        <f>IF(Register!C50="","",Register!C50)</f>
      </c>
      <c r="C50" s="19"/>
      <c r="D50" s="19"/>
      <c r="E50" s="19"/>
      <c r="F50" s="19"/>
      <c r="G50" s="19"/>
      <c r="H50" s="19"/>
      <c r="I50" s="19"/>
      <c r="J50" s="19"/>
      <c r="K50" s="19"/>
      <c r="L50" s="31">
        <f>IF(COUNT(C50:E50)&lt;3,"",SUM(C50:E50))</f>
      </c>
      <c r="M50" s="31">
        <f>IF(COUNT(F50:H50)&lt;3,"",SUM(F50:H50))</f>
      </c>
      <c r="N50" s="31">
        <f>IF(COUNT(I50:K50)&lt;3,"",SUM(I50:K50))</f>
      </c>
      <c r="O50" s="31">
        <f>IF(COUNT(L50:N50)&lt;3,"",SUM(L50:N50))</f>
      </c>
      <c r="P50" s="31">
        <f>IF(O50="","",RANK(O50,$O$3:$O$52))</f>
      </c>
      <c r="Q50" s="16"/>
    </row>
    <row r="51" ht="30" customHeight="1" spans="1:17" x14ac:dyDescent="0.25">
      <c r="A51" s="20">
        <f>IF(Register!A51="","",Register!A51)</f>
      </c>
      <c r="B51" s="20">
        <f>IF(Register!C51="","",Register!C51)</f>
      </c>
      <c r="C51" s="19"/>
      <c r="D51" s="19"/>
      <c r="E51" s="19"/>
      <c r="F51" s="19"/>
      <c r="G51" s="19"/>
      <c r="H51" s="19"/>
      <c r="I51" s="19"/>
      <c r="J51" s="19"/>
      <c r="K51" s="19"/>
      <c r="L51" s="31">
        <f>IF(COUNT(C51:E51)&lt;3,"",SUM(C51:E51))</f>
      </c>
      <c r="M51" s="31">
        <f>IF(COUNT(F51:H51)&lt;3,"",SUM(F51:H51))</f>
      </c>
      <c r="N51" s="31">
        <f>IF(COUNT(I51:K51)&lt;3,"",SUM(I51:K51))</f>
      </c>
      <c r="O51" s="31">
        <f>IF(COUNT(L51:N51)&lt;3,"",SUM(L51:N51))</f>
      </c>
      <c r="P51" s="31">
        <f>IF(O51="","",RANK(O51,$O$3:$O$52))</f>
      </c>
      <c r="Q51" s="16"/>
    </row>
    <row r="52" ht="30" customHeight="1" spans="1:17" x14ac:dyDescent="0.25">
      <c r="A52" s="20">
        <f>IF(Register!A52="","",Register!A52)</f>
      </c>
      <c r="B52" s="20">
        <f>IF(Register!C52="","",Register!C52)</f>
      </c>
      <c r="C52" s="19"/>
      <c r="D52" s="19"/>
      <c r="E52" s="19"/>
      <c r="F52" s="19"/>
      <c r="G52" s="19"/>
      <c r="H52" s="19"/>
      <c r="I52" s="19"/>
      <c r="J52" s="19"/>
      <c r="K52" s="19"/>
      <c r="L52" s="31">
        <f>IF(COUNT(C52:E52)&lt;3,"",SUM(C52:E52))</f>
      </c>
      <c r="M52" s="31">
        <f>IF(COUNT(F52:H52)&lt;3,"",SUM(F52:H52))</f>
      </c>
      <c r="N52" s="31">
        <f>IF(COUNT(I52:K52)&lt;3,"",SUM(I52:K52))</f>
      </c>
      <c r="O52" s="31">
        <f>IF(COUNT(L52:N52)&lt;3,"",SUM(L52:N52))</f>
      </c>
      <c r="P52" s="31">
        <f>IF(O52="","",RANK(O52,$O$3:$O$52))</f>
      </c>
      <c r="Q52" s="16"/>
    </row>
  </sheetData>
  <autoFilter ref="A2:Q52"/>
  <mergeCells count="5">
    <mergeCell ref="A1:B1"/>
    <mergeCell ref="C1:E1"/>
    <mergeCell ref="F1:H1"/>
    <mergeCell ref="I1:K1"/>
    <mergeCell ref="L1:Q1"/>
  </mergeCells>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F3F3F"/>
  </sheetPr>
  <dimension ref="B2:D28"/>
  <sheetFormatPr defaultRowHeight="15" outlineLevelRow="0" outlineLevelCol="0" x14ac:dyDescent="55"/>
  <cols>
    <col min="1" max="1" width="3" customWidth="1"/>
    <col min="2" max="2" width="28" customWidth="1"/>
    <col min="3" max="3" width="22" customWidth="1"/>
    <col min="4" max="4" width="96" customWidth="1"/>
  </cols>
  <sheetData>
    <row r="2" spans="2:4" x14ac:dyDescent="0.25">
      <c r="B2" s="33" t="s">
        <v>530</v>
      </c>
      <c r="C2" s="33"/>
      <c r="D2" s="33"/>
    </row>
    <row r="4" spans="2:4" x14ac:dyDescent="0.25">
      <c r="B4" s="34" t="s">
        <v>531</v>
      </c>
      <c r="C4" s="34" t="s">
        <v>532</v>
      </c>
      <c r="D4" s="34" t="s">
        <v>533</v>
      </c>
    </row>
    <row r="5" ht="58" customHeight="1" spans="2:4" x14ac:dyDescent="0.25">
      <c r="B5" s="9" t="s">
        <v>313</v>
      </c>
      <c r="C5" s="35" t="s">
        <v>255</v>
      </c>
      <c r="D5" s="35" t="s">
        <v>534</v>
      </c>
    </row>
    <row r="6" ht="71" customHeight="1" spans="2:4" x14ac:dyDescent="0.25">
      <c r="B6" s="9" t="s">
        <v>535</v>
      </c>
      <c r="C6" s="35" t="s">
        <v>536</v>
      </c>
      <c r="D6" s="35" t="s">
        <v>537</v>
      </c>
    </row>
    <row r="7" ht="58" customHeight="1" spans="2:4" x14ac:dyDescent="0.25">
      <c r="B7" s="9" t="s">
        <v>538</v>
      </c>
      <c r="C7" s="35" t="s">
        <v>255</v>
      </c>
      <c r="D7" s="35" t="s">
        <v>539</v>
      </c>
    </row>
    <row r="8" ht="32" customHeight="1" spans="2:4" x14ac:dyDescent="0.25">
      <c r="B8" s="9" t="s">
        <v>353</v>
      </c>
      <c r="C8" s="35" t="s">
        <v>257</v>
      </c>
      <c r="D8" s="35" t="s">
        <v>540</v>
      </c>
    </row>
    <row r="9" ht="32" customHeight="1" spans="2:4" x14ac:dyDescent="0.25">
      <c r="B9" s="9" t="s">
        <v>354</v>
      </c>
      <c r="C9" s="35" t="s">
        <v>257</v>
      </c>
      <c r="D9" s="35" t="s">
        <v>541</v>
      </c>
    </row>
    <row r="10" ht="32" customHeight="1" spans="2:4" x14ac:dyDescent="0.25">
      <c r="B10" s="9" t="s">
        <v>542</v>
      </c>
      <c r="C10" s="35" t="s">
        <v>259</v>
      </c>
      <c r="D10" s="35" t="s">
        <v>543</v>
      </c>
    </row>
    <row r="11" ht="45" customHeight="1" spans="2:4" x14ac:dyDescent="0.25">
      <c r="B11" s="9" t="s">
        <v>414</v>
      </c>
      <c r="C11" s="35" t="s">
        <v>261</v>
      </c>
      <c r="D11" s="35" t="s">
        <v>544</v>
      </c>
    </row>
    <row r="12" ht="45" customHeight="1" spans="2:4" x14ac:dyDescent="0.25">
      <c r="B12" s="9" t="s">
        <v>14</v>
      </c>
      <c r="C12" s="35" t="s">
        <v>261</v>
      </c>
      <c r="D12" s="35" t="s">
        <v>545</v>
      </c>
    </row>
    <row r="13" ht="32" customHeight="1" spans="2:4" x14ac:dyDescent="0.25">
      <c r="B13" s="9" t="s">
        <v>18</v>
      </c>
      <c r="C13" s="35" t="s">
        <v>261</v>
      </c>
      <c r="D13" s="35" t="s">
        <v>546</v>
      </c>
    </row>
    <row r="14" ht="58" customHeight="1" spans="2:4" x14ac:dyDescent="0.25">
      <c r="B14" s="9" t="s">
        <v>448</v>
      </c>
      <c r="C14" s="35" t="s">
        <v>263</v>
      </c>
      <c r="D14" s="35" t="s">
        <v>547</v>
      </c>
    </row>
    <row r="15" ht="84" customHeight="1" spans="2:4" x14ac:dyDescent="0.25">
      <c r="B15" s="9" t="s">
        <v>451</v>
      </c>
      <c r="C15" s="35" t="s">
        <v>263</v>
      </c>
      <c r="D15" s="35" t="s">
        <v>548</v>
      </c>
    </row>
    <row r="16" ht="32" customHeight="1" spans="2:4" x14ac:dyDescent="0.25">
      <c r="B16" s="9" t="s">
        <v>132</v>
      </c>
      <c r="C16" s="35" t="s">
        <v>263</v>
      </c>
      <c r="D16" s="35" t="s">
        <v>549</v>
      </c>
    </row>
    <row r="17" ht="45" customHeight="1" spans="2:4" x14ac:dyDescent="0.25">
      <c r="B17" s="9" t="s">
        <v>550</v>
      </c>
      <c r="C17" s="35" t="s">
        <v>263</v>
      </c>
      <c r="D17" s="35" t="s">
        <v>551</v>
      </c>
    </row>
    <row r="18" ht="32" customHeight="1" spans="2:4" x14ac:dyDescent="0.25">
      <c r="B18" s="9" t="s">
        <v>478</v>
      </c>
      <c r="C18" s="35" t="s">
        <v>265</v>
      </c>
      <c r="D18" s="35" t="s">
        <v>552</v>
      </c>
    </row>
    <row r="19" ht="45" customHeight="1" spans="2:4" x14ac:dyDescent="0.25">
      <c r="B19" s="9" t="s">
        <v>317</v>
      </c>
      <c r="C19" s="35" t="s">
        <v>267</v>
      </c>
      <c r="D19" s="35" t="s">
        <v>553</v>
      </c>
    </row>
    <row r="20" ht="45" customHeight="1" spans="2:4" x14ac:dyDescent="0.25">
      <c r="B20" s="9" t="s">
        <v>316</v>
      </c>
      <c r="C20" s="35" t="s">
        <v>267</v>
      </c>
      <c r="D20" s="35" t="s">
        <v>554</v>
      </c>
    </row>
    <row r="21" ht="45" customHeight="1" spans="2:4" x14ac:dyDescent="0.25">
      <c r="B21" s="9" t="s">
        <v>555</v>
      </c>
      <c r="C21" s="35" t="s">
        <v>267</v>
      </c>
      <c r="D21" s="35" t="s">
        <v>556</v>
      </c>
    </row>
    <row r="23" spans="2:4" x14ac:dyDescent="0.25">
      <c r="B23" s="33" t="s">
        <v>557</v>
      </c>
      <c r="C23" s="33"/>
      <c r="D23" s="33"/>
    </row>
    <row r="25" spans="2:4" x14ac:dyDescent="0.25">
      <c r="B25" s="34" t="s">
        <v>531</v>
      </c>
      <c r="C25" s="34" t="s">
        <v>532</v>
      </c>
      <c r="D25" s="34" t="s">
        <v>533</v>
      </c>
    </row>
    <row r="26" ht="58" customHeight="1" spans="2:4" x14ac:dyDescent="0.25">
      <c r="B26" s="9" t="s">
        <v>558</v>
      </c>
      <c r="C26" s="35" t="s">
        <v>559</v>
      </c>
      <c r="D26" s="35" t="s">
        <v>560</v>
      </c>
    </row>
    <row r="27" ht="45" customHeight="1" spans="2:4" x14ac:dyDescent="0.25">
      <c r="B27" s="9" t="s">
        <v>561</v>
      </c>
      <c r="C27" s="35" t="s">
        <v>562</v>
      </c>
      <c r="D27" s="35" t="s">
        <v>563</v>
      </c>
    </row>
    <row r="28" ht="45" customHeight="1" spans="2:4" x14ac:dyDescent="0.25">
      <c r="B28" s="9" t="s">
        <v>564</v>
      </c>
      <c r="C28" s="35" t="s">
        <v>559</v>
      </c>
      <c r="D28" s="35" t="s">
        <v>565</v>
      </c>
    </row>
  </sheetData>
  <mergeCells count="2">
    <mergeCell ref="B2:D2"/>
    <mergeCell ref="B23:D23"/>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575"/>
  </sheetPr>
  <dimension ref="A1:G17"/>
  <sheetViews>
    <sheetView workbookViewId="0">
      <pane xSplit="1" ySplit="2" topLeftCell="B3" activePane="bottomRight" state="frozen"/>
      <selection pane="bottomRight"/>
    </sheetView>
  </sheetViews>
  <sheetFormatPr defaultRowHeight="15" outlineLevelRow="0" outlineLevelCol="0" x14ac:dyDescent="55"/>
  <cols>
    <col min="1" max="2" width="28" customWidth="1"/>
    <col min="3" max="3" width="18" customWidth="1"/>
    <col min="4" max="4" width="24" customWidth="1"/>
    <col min="5" max="5" width="28" customWidth="1"/>
    <col min="6" max="6" width="42" customWidth="1"/>
    <col min="7" max="7" width="40" customWidth="1"/>
  </cols>
  <sheetData>
    <row r="1" ht="30" customHeight="1" spans="1:7" x14ac:dyDescent="0.25">
      <c r="A1" s="36" t="s">
        <v>566</v>
      </c>
      <c r="B1" s="36"/>
      <c r="C1" s="36"/>
      <c r="D1" s="36"/>
      <c r="E1" s="36"/>
      <c r="F1" s="36"/>
      <c r="G1" s="36"/>
    </row>
    <row r="2" ht="30" customHeight="1" spans="1:7" x14ac:dyDescent="0.25">
      <c r="A2" s="15" t="s">
        <v>567</v>
      </c>
      <c r="B2" s="15" t="s">
        <v>568</v>
      </c>
      <c r="C2" s="15" t="s">
        <v>569</v>
      </c>
      <c r="D2" s="15" t="s">
        <v>570</v>
      </c>
      <c r="E2" s="15" t="s">
        <v>571</v>
      </c>
      <c r="F2" s="15" t="s">
        <v>572</v>
      </c>
      <c r="G2" s="15" t="s">
        <v>573</v>
      </c>
    </row>
    <row r="3" ht="62" customHeight="1" spans="1:7" x14ac:dyDescent="0.25">
      <c r="A3" s="9" t="s">
        <v>134</v>
      </c>
      <c r="B3" s="35" t="s">
        <v>574</v>
      </c>
      <c r="C3" s="35" t="s">
        <v>575</v>
      </c>
      <c r="D3" s="35" t="s">
        <v>576</v>
      </c>
      <c r="E3" s="35" t="s">
        <v>577</v>
      </c>
      <c r="F3" s="35" t="s">
        <v>578</v>
      </c>
      <c r="G3" s="35" t="s">
        <v>579</v>
      </c>
    </row>
    <row r="4" ht="62" customHeight="1" spans="1:7" x14ac:dyDescent="0.25">
      <c r="A4" s="9" t="s">
        <v>136</v>
      </c>
      <c r="B4" s="35" t="s">
        <v>580</v>
      </c>
      <c r="C4" s="35" t="s">
        <v>575</v>
      </c>
      <c r="D4" s="35" t="s">
        <v>581</v>
      </c>
      <c r="E4" s="35" t="s">
        <v>582</v>
      </c>
      <c r="F4" s="35" t="s">
        <v>583</v>
      </c>
      <c r="G4" s="35" t="s">
        <v>584</v>
      </c>
    </row>
    <row r="5" ht="62" customHeight="1" spans="1:7" x14ac:dyDescent="0.25">
      <c r="A5" s="9" t="s">
        <v>140</v>
      </c>
      <c r="B5" s="35" t="s">
        <v>585</v>
      </c>
      <c r="C5" s="35" t="s">
        <v>575</v>
      </c>
      <c r="D5" s="35" t="s">
        <v>586</v>
      </c>
      <c r="E5" s="35" t="s">
        <v>587</v>
      </c>
      <c r="F5" s="35" t="s">
        <v>588</v>
      </c>
      <c r="G5" s="35" t="s">
        <v>589</v>
      </c>
    </row>
    <row r="6" ht="62" customHeight="1" spans="1:7" x14ac:dyDescent="0.25">
      <c r="A6" s="9" t="s">
        <v>590</v>
      </c>
      <c r="B6" s="35" t="s">
        <v>591</v>
      </c>
      <c r="C6" s="35" t="s">
        <v>575</v>
      </c>
      <c r="D6" s="35" t="s">
        <v>592</v>
      </c>
      <c r="E6" s="35" t="s">
        <v>593</v>
      </c>
      <c r="F6" s="35" t="s">
        <v>594</v>
      </c>
      <c r="G6" s="35" t="s">
        <v>595</v>
      </c>
    </row>
    <row r="7" ht="62" customHeight="1" spans="1:7" x14ac:dyDescent="0.25">
      <c r="A7" s="9" t="s">
        <v>596</v>
      </c>
      <c r="B7" s="35" t="s">
        <v>597</v>
      </c>
      <c r="C7" s="35" t="s">
        <v>598</v>
      </c>
      <c r="D7" s="35" t="s">
        <v>599</v>
      </c>
      <c r="E7" s="35" t="s">
        <v>600</v>
      </c>
      <c r="F7" s="35" t="s">
        <v>601</v>
      </c>
      <c r="G7" s="35" t="s">
        <v>602</v>
      </c>
    </row>
    <row r="8" ht="62" customHeight="1" spans="1:7" x14ac:dyDescent="0.25">
      <c r="A8" s="9" t="s">
        <v>146</v>
      </c>
      <c r="B8" s="35" t="s">
        <v>603</v>
      </c>
      <c r="C8" s="35" t="s">
        <v>604</v>
      </c>
      <c r="D8" s="35" t="s">
        <v>605</v>
      </c>
      <c r="E8" s="35" t="s">
        <v>606</v>
      </c>
      <c r="F8" s="35" t="s">
        <v>607</v>
      </c>
      <c r="G8" s="35" t="s">
        <v>608</v>
      </c>
    </row>
    <row r="9" ht="62" customHeight="1" spans="1:7" x14ac:dyDescent="0.25">
      <c r="A9" s="9" t="s">
        <v>609</v>
      </c>
      <c r="B9" s="35" t="s">
        <v>610</v>
      </c>
      <c r="C9" s="35" t="s">
        <v>611</v>
      </c>
      <c r="D9" s="35" t="s">
        <v>612</v>
      </c>
      <c r="E9" s="35" t="s">
        <v>613</v>
      </c>
      <c r="F9" s="35" t="s">
        <v>614</v>
      </c>
      <c r="G9" s="35" t="s">
        <v>615</v>
      </c>
    </row>
    <row r="11" ht="34" customHeight="1" spans="1:7" x14ac:dyDescent="0.25">
      <c r="A11" s="37" t="s">
        <v>616</v>
      </c>
      <c r="B11" s="37"/>
      <c r="C11" s="37"/>
      <c r="D11" s="37"/>
      <c r="E11" s="37"/>
      <c r="F11" s="37"/>
      <c r="G11" s="37"/>
    </row>
    <row r="13" ht="34" customHeight="1" spans="1:7" x14ac:dyDescent="0.25">
      <c r="A13" s="38" t="s">
        <v>617</v>
      </c>
      <c r="B13" s="38"/>
      <c r="C13" s="38"/>
      <c r="D13" s="38"/>
      <c r="E13" s="38"/>
      <c r="F13" s="38"/>
      <c r="G13" s="38"/>
    </row>
    <row r="15" ht="34" customHeight="1" spans="1:7" x14ac:dyDescent="0.25">
      <c r="A15" s="39" t="s">
        <v>618</v>
      </c>
      <c r="B15" s="39"/>
      <c r="C15" s="39"/>
      <c r="D15" s="39"/>
      <c r="E15" s="39"/>
      <c r="F15" s="39"/>
      <c r="G15" s="39"/>
    </row>
    <row r="17" ht="34" customHeight="1" spans="1:7" x14ac:dyDescent="0.25">
      <c r="A17" s="40" t="s">
        <v>619</v>
      </c>
      <c r="B17" s="40"/>
      <c r="C17" s="40"/>
      <c r="D17" s="40"/>
      <c r="E17" s="40"/>
      <c r="F17" s="40"/>
      <c r="G17" s="40"/>
    </row>
  </sheetData>
  <mergeCells count="5">
    <mergeCell ref="A1:G1"/>
    <mergeCell ref="A11:G11"/>
    <mergeCell ref="A13:G13"/>
    <mergeCell ref="A15:G15"/>
    <mergeCell ref="A17:G17"/>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3A5E"/>
  </sheetPr>
  <dimension ref="B2:D18"/>
  <sheetFormatPr defaultRowHeight="15" outlineLevelRow="0" outlineLevelCol="0" x14ac:dyDescent="55"/>
  <cols>
    <col min="1" max="1" width="3" customWidth="1"/>
    <col min="2" max="2" width="24" customWidth="1"/>
    <col min="3" max="3" width="48" customWidth="1"/>
    <col min="4" max="4" width="96" customWidth="1"/>
  </cols>
  <sheetData>
    <row r="2" spans="2:2" x14ac:dyDescent="0.25">
      <c r="B2" s="33" t="s">
        <v>620</v>
      </c>
    </row>
    <row r="4" spans="2:4" x14ac:dyDescent="0.25">
      <c r="B4" s="34" t="s">
        <v>621</v>
      </c>
      <c r="C4" s="34" t="s">
        <v>622</v>
      </c>
      <c r="D4" s="34" t="s">
        <v>623</v>
      </c>
    </row>
    <row r="5" spans="2:4" x14ac:dyDescent="0.25">
      <c r="B5" s="41" t="s">
        <v>624</v>
      </c>
      <c r="C5" s="35" t="s">
        <v>625</v>
      </c>
      <c r="D5" s="42" t="s">
        <v>626</v>
      </c>
    </row>
    <row r="6" spans="2:4" x14ac:dyDescent="0.25">
      <c r="B6" s="41" t="s">
        <v>627</v>
      </c>
      <c r="C6" s="35" t="s">
        <v>628</v>
      </c>
      <c r="D6" s="42" t="s">
        <v>629</v>
      </c>
    </row>
    <row r="7" spans="2:4" x14ac:dyDescent="0.25">
      <c r="B7" s="41" t="s">
        <v>630</v>
      </c>
      <c r="C7" s="35" t="s">
        <v>631</v>
      </c>
      <c r="D7" s="42" t="s">
        <v>632</v>
      </c>
    </row>
    <row r="8" spans="2:4" x14ac:dyDescent="0.25">
      <c r="B8" s="41" t="s">
        <v>633</v>
      </c>
      <c r="C8" s="35" t="s">
        <v>634</v>
      </c>
      <c r="D8" s="42" t="s">
        <v>635</v>
      </c>
    </row>
    <row r="9" spans="2:4" x14ac:dyDescent="0.25">
      <c r="B9" s="41" t="s">
        <v>636</v>
      </c>
      <c r="C9" s="35" t="s">
        <v>637</v>
      </c>
      <c r="D9" s="42" t="s">
        <v>638</v>
      </c>
    </row>
    <row r="10" spans="2:4" x14ac:dyDescent="0.25">
      <c r="B10" s="41" t="s">
        <v>562</v>
      </c>
      <c r="C10" s="35" t="s">
        <v>639</v>
      </c>
      <c r="D10" s="42" t="s">
        <v>640</v>
      </c>
    </row>
    <row r="11" spans="2:4" x14ac:dyDescent="0.25">
      <c r="B11" s="41" t="s">
        <v>562</v>
      </c>
      <c r="C11" s="35" t="s">
        <v>641</v>
      </c>
      <c r="D11" s="42" t="s">
        <v>642</v>
      </c>
    </row>
    <row r="12" spans="2:4" x14ac:dyDescent="0.25">
      <c r="B12" s="41" t="s">
        <v>559</v>
      </c>
      <c r="C12" s="35" t="s">
        <v>643</v>
      </c>
      <c r="D12" s="42" t="s">
        <v>644</v>
      </c>
    </row>
    <row r="13" spans="2:4" x14ac:dyDescent="0.25">
      <c r="B13" s="41" t="s">
        <v>645</v>
      </c>
      <c r="C13" s="35" t="s">
        <v>646</v>
      </c>
      <c r="D13" s="42" t="s">
        <v>647</v>
      </c>
    </row>
    <row r="14" spans="2:4" x14ac:dyDescent="0.25">
      <c r="B14" s="41" t="s">
        <v>645</v>
      </c>
      <c r="C14" s="35" t="s">
        <v>648</v>
      </c>
      <c r="D14" s="42" t="s">
        <v>649</v>
      </c>
    </row>
    <row r="15" spans="2:4" x14ac:dyDescent="0.25">
      <c r="B15" s="41" t="s">
        <v>650</v>
      </c>
      <c r="C15" s="35" t="s">
        <v>651</v>
      </c>
      <c r="D15" s="42" t="s">
        <v>652</v>
      </c>
    </row>
    <row r="16" spans="2:4" x14ac:dyDescent="0.25">
      <c r="B16" s="41" t="s">
        <v>653</v>
      </c>
      <c r="C16" s="35" t="s">
        <v>654</v>
      </c>
      <c r="D16" s="42" t="s">
        <v>655</v>
      </c>
    </row>
    <row r="18" ht="46" customHeight="1" spans="2:4" x14ac:dyDescent="0.25">
      <c r="B18" s="43" t="s">
        <v>656</v>
      </c>
      <c r="C18" s="43"/>
      <c r="D18" s="43"/>
    </row>
  </sheetData>
  <mergeCells count="1">
    <mergeCell ref="B18:D18"/>
  </mergeCells>
  <hyperlinks>
    <hyperlink ref="D5" r:id="rId1"/>
    <hyperlink ref="D6" r:id="rId2"/>
    <hyperlink ref="D7" r:id="rId3"/>
    <hyperlink ref="D8" r:id="rId4"/>
    <hyperlink ref="D9" r:id="rId5"/>
    <hyperlink ref="D10" r:id="rId6"/>
    <hyperlink ref="D11" r:id="rId7"/>
    <hyperlink ref="D12" r:id="rId8"/>
    <hyperlink ref="D13" r:id="rId9"/>
    <hyperlink ref="D14" r:id="rId10"/>
    <hyperlink ref="D15" r:id="rId11"/>
    <hyperlink ref="D16" r:id="rId1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Lists</vt:lpstr>
      <vt:lpstr>Start here</vt:lpstr>
      <vt:lpstr>Register</vt:lpstr>
      <vt:lpstr>Outcome contract</vt:lpstr>
      <vt:lpstr>Eight questions</vt:lpstr>
      <vt:lpstr>Assurance and gate</vt:lpstr>
      <vt:lpstr>Technology direction</vt:lpstr>
      <vt:lpstr>Prove and operate</vt:lpstr>
      <vt:lpstr>Answers out</vt:lpstr>
      <vt:lpstr>Scoring</vt:lpstr>
      <vt:lpstr>Decision logic</vt:lpstr>
      <vt:lpstr>Platform reference</vt:lpstr>
      <vt:lpstr>References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dc:title/>
  <dc:subject/>
  <dc:description/>
  <cp:keywords/>
  <cp:category/>
  <cp:lastModifiedBy>Microsoft</cp:lastModifiedBy>
  <dcterms:created xsi:type="dcterms:W3CDTF">2026-09-10T07:33:12Z</dcterms:created>
  <dcterms:modified xsi:type="dcterms:W3CDTF">2026-09-10T07:33:12Z</dcterms:modified>
</cp:coreProperties>
</file>